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大學的東西\iGEM\9th\數據\paper data\"/>
    </mc:Choice>
  </mc:AlternateContent>
  <xr:revisionPtr revIDLastSave="0" documentId="13_ncr:1_{04A48138-2F0C-4241-9DA5-BCB6658B860E}" xr6:coauthVersionLast="47" xr6:coauthVersionMax="47" xr10:uidLastSave="{00000000-0000-0000-0000-000000000000}"/>
  <bookViews>
    <workbookView xWindow="-98" yWindow="-98" windowWidth="21795" windowHeight="12975" firstSheet="9" activeTab="12" xr2:uid="{00000000-000D-0000-FFFF-FFFF00000000}"/>
  </bookViews>
  <sheets>
    <sheet name="L. lactis growth curve OD" sheetId="1" r:id="rId1"/>
    <sheet name="L. lactis growth curve CFU" sheetId="2" r:id="rId2"/>
    <sheet name="E. coli growth curve OD" sheetId="3" r:id="rId3"/>
    <sheet name="E. coli growth curve CFU" sheetId="4" r:id="rId4"/>
    <sheet name="L. lactis growth curve in 37C C" sheetId="5" r:id="rId5"/>
    <sheet name="L. lactis growth curve in 37C O" sheetId="6" r:id="rId6"/>
    <sheet name="hydrogel diffusion " sheetId="7" r:id="rId7"/>
    <sheet name="AMP to L. lactis pretest" sheetId="8" r:id="rId8"/>
    <sheet name="AMP to E. coli" sheetId="9" r:id="rId9"/>
    <sheet name="AMP to E. coli second dose" sheetId="13" r:id="rId10"/>
    <sheet name="cell proliferation" sheetId="10" r:id="rId11"/>
    <sheet name="ELISA diffusion test" sheetId="14" r:id="rId12"/>
    <sheet name="antibiotic selection" sheetId="15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7" i="13" l="1"/>
  <c r="H26" i="13"/>
  <c r="AE28" i="13"/>
  <c r="H18" i="13"/>
  <c r="H17" i="13"/>
  <c r="H9" i="13"/>
  <c r="H8" i="13"/>
  <c r="H23" i="13"/>
  <c r="H14" i="13"/>
  <c r="H5" i="13"/>
  <c r="AQ28" i="13"/>
  <c r="AK28" i="13"/>
</calcChain>
</file>

<file path=xl/sharedStrings.xml><?xml version="1.0" encoding="utf-8"?>
<sst xmlns="http://schemas.openxmlformats.org/spreadsheetml/2006/main" count="592" uniqueCount="145">
  <si>
    <t>L. lactis growth curve OD</t>
    <phoneticPr fontId="1" type="noConversion"/>
  </si>
  <si>
    <t>time (hr)</t>
  </si>
  <si>
    <t>time (hr)</t>
    <phoneticPr fontId="1" type="noConversion"/>
  </si>
  <si>
    <t>OD600</t>
  </si>
  <si>
    <t>OD600</t>
    <phoneticPr fontId="1" type="noConversion"/>
  </si>
  <si>
    <t>SD</t>
  </si>
  <si>
    <t>SD</t>
    <phoneticPr fontId="1" type="noConversion"/>
  </si>
  <si>
    <t>L. lactis growth curve CFU</t>
    <phoneticPr fontId="1" type="noConversion"/>
  </si>
  <si>
    <t>CFU</t>
  </si>
  <si>
    <t>CFU/mL</t>
    <phoneticPr fontId="1" type="noConversion"/>
  </si>
  <si>
    <t>2024/8/19-2024/8/23</t>
    <phoneticPr fontId="1" type="noConversion"/>
  </si>
  <si>
    <t>2024/9/3-2024/9/16</t>
    <phoneticPr fontId="1" type="noConversion"/>
  </si>
  <si>
    <t>E. coli growth curve OD</t>
    <phoneticPr fontId="1" type="noConversion"/>
  </si>
  <si>
    <t>2024/8/17-2024/8/18</t>
    <phoneticPr fontId="1" type="noConversion"/>
  </si>
  <si>
    <t>2024/8/31-2024/9/1</t>
    <phoneticPr fontId="1" type="noConversion"/>
  </si>
  <si>
    <t>E. coli growth curve CFU</t>
    <phoneticPr fontId="1" type="noConversion"/>
  </si>
  <si>
    <t>2024/8/21-2024/8/24</t>
    <phoneticPr fontId="1" type="noConversion"/>
  </si>
  <si>
    <t>duration</t>
  </si>
  <si>
    <t>CFU SD</t>
  </si>
  <si>
    <t>2024/9/3-2024/9/7</t>
  </si>
  <si>
    <t>L. lactis growth curve in 37C CFU</t>
    <phoneticPr fontId="1" type="noConversion"/>
  </si>
  <si>
    <t>supplement</t>
    <phoneticPr fontId="1" type="noConversion"/>
  </si>
  <si>
    <t>L. lactis growth curve in 37C OD</t>
    <phoneticPr fontId="1" type="noConversion"/>
  </si>
  <si>
    <t>OD SD</t>
  </si>
  <si>
    <t xml:space="preserve">hydrogel diffusion </t>
    <phoneticPr fontId="1" type="noConversion"/>
  </si>
  <si>
    <t>nanodrop</t>
    <phoneticPr fontId="1" type="noConversion"/>
  </si>
  <si>
    <t>GM-CSF</t>
    <phoneticPr fontId="1" type="noConversion"/>
  </si>
  <si>
    <t>control</t>
    <phoneticPr fontId="1" type="noConversion"/>
  </si>
  <si>
    <t>wavelength (nm)</t>
    <phoneticPr fontId="1" type="noConversion"/>
  </si>
  <si>
    <t>OD 280</t>
    <phoneticPr fontId="1" type="noConversion"/>
  </si>
  <si>
    <t>9/20/2024 7:31:50 PM</t>
  </si>
  <si>
    <t>Other protein E and MW</t>
  </si>
  <si>
    <t xml:space="preserve"> </t>
  </si>
  <si>
    <t>9/20/2024 7:33:10 PM</t>
  </si>
  <si>
    <t>GM-CSF</t>
  </si>
  <si>
    <t>Date</t>
  </si>
  <si>
    <t>Sample Name</t>
  </si>
  <si>
    <t>Protein(mg/mL)</t>
  </si>
  <si>
    <t>A280</t>
  </si>
  <si>
    <t>A260/A280</t>
  </si>
  <si>
    <t>Sample Type</t>
  </si>
  <si>
    <t>MW</t>
  </si>
  <si>
    <t>E / 1000</t>
  </si>
  <si>
    <t>Extinction coeficient</t>
  </si>
  <si>
    <t>Baseline Correction (nm)</t>
  </si>
  <si>
    <t>Baseline Absorbance</t>
  </si>
  <si>
    <t>AMP to L. lactis pretest</t>
    <phoneticPr fontId="1" type="noConversion"/>
  </si>
  <si>
    <t>OD 600</t>
    <phoneticPr fontId="1" type="noConversion"/>
  </si>
  <si>
    <t>AMP to E. coli</t>
    <phoneticPr fontId="1" type="noConversion"/>
  </si>
  <si>
    <t>blank</t>
  </si>
  <si>
    <t>GM-CSF control 100 ng/mL</t>
  </si>
  <si>
    <t>GM-CSF control 1 ng/mL</t>
  </si>
  <si>
    <t>GM-CSF control 10 pg/mL</t>
  </si>
  <si>
    <t>pET-21b</t>
  </si>
  <si>
    <t>pET-21b+pKJE7</t>
  </si>
  <si>
    <t>pET-21b+pKJE7+Ara</t>
  </si>
  <si>
    <t>GM-CSF+pKJE7</t>
  </si>
  <si>
    <t>GM-CSF+pKJE7+Ara</t>
  </si>
  <si>
    <t>PelB-G</t>
  </si>
  <si>
    <t>PelB-G+pKJE7</t>
  </si>
  <si>
    <t>PelB-G+pKJE7+Ara</t>
  </si>
  <si>
    <t>OD540</t>
    <phoneticPr fontId="1" type="noConversion"/>
  </si>
  <si>
    <t>cell proliferation</t>
    <phoneticPr fontId="1" type="noConversion"/>
  </si>
  <si>
    <t>E. coli (initial OD:1.1)</t>
    <phoneticPr fontId="1" type="noConversion"/>
  </si>
  <si>
    <t>2024/9/22-2024/9/24</t>
    <phoneticPr fontId="1" type="noConversion"/>
  </si>
  <si>
    <t>119 no</t>
  </si>
  <si>
    <t>31 no</t>
  </si>
  <si>
    <t>32 no</t>
  </si>
  <si>
    <t>174 no</t>
  </si>
  <si>
    <t>+</t>
  </si>
  <si>
    <t>113 no</t>
  </si>
  <si>
    <t>109 no</t>
  </si>
  <si>
    <t>14 no</t>
  </si>
  <si>
    <t>145 no</t>
  </si>
  <si>
    <t>144 no</t>
  </si>
  <si>
    <t>28 no</t>
  </si>
  <si>
    <t>140 no</t>
  </si>
  <si>
    <t>124 no</t>
  </si>
  <si>
    <t>11 no</t>
  </si>
  <si>
    <t>15 no</t>
  </si>
  <si>
    <t>N/A</t>
  </si>
  <si>
    <t>159 no</t>
  </si>
  <si>
    <t>5 no</t>
  </si>
  <si>
    <t>6 no</t>
  </si>
  <si>
    <t>52 no</t>
  </si>
  <si>
    <t>62 no</t>
  </si>
  <si>
    <t>75 no</t>
  </si>
  <si>
    <t>69 no</t>
  </si>
  <si>
    <t>105 no</t>
  </si>
  <si>
    <t>16 no</t>
  </si>
  <si>
    <t>103 no</t>
  </si>
  <si>
    <t>99 no</t>
  </si>
  <si>
    <t>106 no</t>
  </si>
  <si>
    <t>ELISA diffusion test</t>
    <phoneticPr fontId="1" type="noConversion"/>
  </si>
  <si>
    <t>OD450 -mean</t>
  </si>
  <si>
    <t>OD450 -SD</t>
  </si>
  <si>
    <t>concentration (pg/mL)</t>
  </si>
  <si>
    <t>control (without antibiotic)</t>
  </si>
  <si>
    <t>chloramphenical 20</t>
  </si>
  <si>
    <t xml:space="preserve">chloramphenical 34 </t>
  </si>
  <si>
    <t xml:space="preserve">chloramphenical 350 </t>
  </si>
  <si>
    <t>Ampicillin 100</t>
  </si>
  <si>
    <t>erythromycin 200</t>
  </si>
  <si>
    <t>erythromycin 300</t>
  </si>
  <si>
    <r>
      <t>L. lactis(OD</t>
    </r>
    <r>
      <rPr>
        <b/>
        <sz val="8"/>
        <color theme="1"/>
        <rFont val="Times New Roman"/>
        <family val="1"/>
      </rPr>
      <t>600</t>
    </r>
    <r>
      <rPr>
        <b/>
        <sz val="11"/>
        <color theme="1"/>
        <rFont val="Times New Roman"/>
        <family val="1"/>
      </rPr>
      <t xml:space="preserve"> = 0.57, </t>
    </r>
    <r>
      <rPr>
        <b/>
        <sz val="11"/>
        <color theme="1"/>
        <rFont val="Times New Roman"/>
        <family val="4"/>
      </rPr>
      <t>dilute 100x</t>
    </r>
    <r>
      <rPr>
        <b/>
        <sz val="11"/>
        <color theme="1"/>
        <rFont val="Times New Roman"/>
        <family val="1"/>
      </rPr>
      <t>)</t>
    </r>
    <phoneticPr fontId="1" type="noConversion"/>
  </si>
  <si>
    <r>
      <t>L. lactis(OD</t>
    </r>
    <r>
      <rPr>
        <b/>
        <sz val="8"/>
        <color theme="1"/>
        <rFont val="Times New Roman"/>
        <family val="1"/>
      </rPr>
      <t>600</t>
    </r>
    <r>
      <rPr>
        <b/>
        <sz val="11"/>
        <color theme="1"/>
        <rFont val="Times New Roman"/>
        <family val="1"/>
      </rPr>
      <t xml:space="preserve"> = 0.53, </t>
    </r>
    <r>
      <rPr>
        <b/>
        <sz val="11"/>
        <color theme="1"/>
        <rFont val="Times New Roman"/>
        <family val="4"/>
      </rPr>
      <t xml:space="preserve">dilute </t>
    </r>
    <r>
      <rPr>
        <b/>
        <sz val="11"/>
        <color theme="1"/>
        <rFont val="Times New Roman"/>
        <family val="1"/>
      </rPr>
      <t>100x)</t>
    </r>
    <phoneticPr fontId="1" type="noConversion"/>
  </si>
  <si>
    <r>
      <t>E. coli(OD</t>
    </r>
    <r>
      <rPr>
        <b/>
        <sz val="8"/>
        <color theme="1"/>
        <rFont val="Times New Roman"/>
        <family val="1"/>
      </rPr>
      <t>600</t>
    </r>
    <r>
      <rPr>
        <b/>
        <sz val="11"/>
        <color theme="1"/>
        <rFont val="Times New Roman"/>
        <family val="1"/>
      </rPr>
      <t xml:space="preserve"> = 0.52</t>
    </r>
    <r>
      <rPr>
        <b/>
        <sz val="11"/>
        <color theme="1"/>
        <rFont val="標楷體"/>
        <family val="4"/>
        <charset val="136"/>
      </rPr>
      <t xml:space="preserve">, </t>
    </r>
    <r>
      <rPr>
        <b/>
        <sz val="11"/>
        <color theme="1"/>
        <rFont val="Times New Roman"/>
        <family val="4"/>
      </rPr>
      <t>dilute 100x</t>
    </r>
    <r>
      <rPr>
        <b/>
        <sz val="11"/>
        <color theme="1"/>
        <rFont val="Times New Roman"/>
        <family val="1"/>
      </rPr>
      <t>)</t>
    </r>
    <phoneticPr fontId="1" type="noConversion"/>
  </si>
  <si>
    <r>
      <t>L. lactis(OD</t>
    </r>
    <r>
      <rPr>
        <b/>
        <sz val="8"/>
        <color theme="1"/>
        <rFont val="Times New Roman"/>
        <family val="1"/>
      </rPr>
      <t>600</t>
    </r>
    <r>
      <rPr>
        <b/>
        <sz val="11"/>
        <color theme="1"/>
        <rFont val="Times New Roman"/>
        <family val="1"/>
      </rPr>
      <t xml:space="preserve"> = 0.57</t>
    </r>
    <r>
      <rPr>
        <b/>
        <sz val="11"/>
        <color theme="1"/>
        <rFont val="標楷體"/>
        <family val="4"/>
        <charset val="136"/>
      </rPr>
      <t xml:space="preserve">, </t>
    </r>
    <r>
      <rPr>
        <b/>
        <sz val="11"/>
        <color theme="1"/>
        <rFont val="Times New Roman"/>
        <family val="4"/>
      </rPr>
      <t>dilute 100x</t>
    </r>
    <r>
      <rPr>
        <b/>
        <sz val="11"/>
        <color theme="1"/>
        <rFont val="Times New Roman"/>
        <family val="1"/>
      </rPr>
      <t>)</t>
    </r>
    <phoneticPr fontId="1" type="noConversion"/>
  </si>
  <si>
    <r>
      <t>E. coli(OD</t>
    </r>
    <r>
      <rPr>
        <b/>
        <sz val="8"/>
        <rFont val="Times New Roman"/>
        <family val="1"/>
      </rPr>
      <t>600</t>
    </r>
    <r>
      <rPr>
        <b/>
        <sz val="11"/>
        <rFont val="Times New Roman"/>
        <family val="1"/>
      </rPr>
      <t xml:space="preserve"> = 0.6</t>
    </r>
    <r>
      <rPr>
        <b/>
        <sz val="11"/>
        <rFont val="標楷體"/>
        <family val="4"/>
        <charset val="136"/>
      </rPr>
      <t xml:space="preserve">, </t>
    </r>
    <r>
      <rPr>
        <b/>
        <sz val="11"/>
        <rFont val="Times New Roman"/>
        <family val="4"/>
      </rPr>
      <t>dilute 100x</t>
    </r>
    <r>
      <rPr>
        <b/>
        <sz val="11"/>
        <rFont val="Times New Roman"/>
        <family val="1"/>
      </rPr>
      <t>)</t>
    </r>
    <phoneticPr fontId="1" type="noConversion"/>
  </si>
  <si>
    <r>
      <t>E. coli(OD</t>
    </r>
    <r>
      <rPr>
        <b/>
        <sz val="8"/>
        <rFont val="Times New Roman"/>
        <family val="1"/>
      </rPr>
      <t>600</t>
    </r>
    <r>
      <rPr>
        <b/>
        <sz val="11"/>
        <rFont val="Times New Roman"/>
        <family val="1"/>
      </rPr>
      <t xml:space="preserve"> = 0.56</t>
    </r>
    <r>
      <rPr>
        <b/>
        <sz val="11"/>
        <rFont val="標楷體"/>
        <family val="4"/>
        <charset val="136"/>
      </rPr>
      <t xml:space="preserve">, </t>
    </r>
    <r>
      <rPr>
        <b/>
        <sz val="11"/>
        <rFont val="Times New Roman"/>
        <family val="4"/>
      </rPr>
      <t>dilute 100x</t>
    </r>
    <r>
      <rPr>
        <b/>
        <sz val="11"/>
        <rFont val="Times New Roman"/>
        <family val="1"/>
      </rPr>
      <t>)</t>
    </r>
    <phoneticPr fontId="1" type="noConversion"/>
  </si>
  <si>
    <r>
      <t>L. lactis(OD</t>
    </r>
    <r>
      <rPr>
        <b/>
        <sz val="8"/>
        <color theme="1"/>
        <rFont val="Times New Roman"/>
        <family val="1"/>
      </rPr>
      <t>600</t>
    </r>
    <r>
      <rPr>
        <b/>
        <sz val="11"/>
        <color theme="1"/>
        <rFont val="Times New Roman"/>
        <family val="1"/>
      </rPr>
      <t xml:space="preserve"> = 1.127</t>
    </r>
    <r>
      <rPr>
        <b/>
        <sz val="11"/>
        <color theme="1"/>
        <rFont val="標楷體"/>
        <family val="4"/>
        <charset val="136"/>
      </rPr>
      <t xml:space="preserve">, </t>
    </r>
    <r>
      <rPr>
        <b/>
        <sz val="11"/>
        <color theme="1"/>
        <rFont val="Times New Roman"/>
        <family val="4"/>
      </rPr>
      <t>dilute 4.8x</t>
    </r>
    <r>
      <rPr>
        <b/>
        <sz val="11"/>
        <color theme="1"/>
        <rFont val="Times New Roman"/>
        <family val="1"/>
      </rPr>
      <t>)</t>
    </r>
    <phoneticPr fontId="1" type="noConversion"/>
  </si>
  <si>
    <r>
      <t>Temp: 24</t>
    </r>
    <r>
      <rPr>
        <b/>
        <sz val="11"/>
        <color theme="1"/>
        <rFont val="Segoe UI Symbol"/>
        <family val="4"/>
      </rPr>
      <t>℃</t>
    </r>
    <phoneticPr fontId="1" type="noConversion"/>
  </si>
  <si>
    <r>
      <t>Temp: 37</t>
    </r>
    <r>
      <rPr>
        <b/>
        <sz val="11"/>
        <color theme="1"/>
        <rFont val="Segoe UI Symbol"/>
        <family val="4"/>
      </rPr>
      <t>℃</t>
    </r>
    <phoneticPr fontId="1" type="noConversion"/>
  </si>
  <si>
    <r>
      <t>Temp: 37</t>
    </r>
    <r>
      <rPr>
        <b/>
        <sz val="11"/>
        <rFont val="Segoe UI Symbol"/>
        <family val="4"/>
      </rPr>
      <t>℃</t>
    </r>
    <phoneticPr fontId="1" type="noConversion"/>
  </si>
  <si>
    <t xml:space="preserve">L .lactis CFU under 24 celcius </t>
    <phoneticPr fontId="1" type="noConversion"/>
  </si>
  <si>
    <t xml:space="preserve">L .lactis CFU under 37 celcius </t>
    <phoneticPr fontId="1" type="noConversion"/>
  </si>
  <si>
    <t xml:space="preserve">L .lactis OD under 24 celcius </t>
    <phoneticPr fontId="1" type="noConversion"/>
  </si>
  <si>
    <t xml:space="preserve">L .lactis OD under 37 celcius </t>
    <phoneticPr fontId="1" type="noConversion"/>
  </si>
  <si>
    <t>0 ug/ml</t>
    <phoneticPr fontId="1" type="noConversion"/>
  </si>
  <si>
    <t>25 ug/ml</t>
    <phoneticPr fontId="1" type="noConversion"/>
  </si>
  <si>
    <t>50 ug/ml</t>
    <phoneticPr fontId="1" type="noConversion"/>
  </si>
  <si>
    <t>AMP (ug/ml)</t>
    <phoneticPr fontId="1" type="noConversion"/>
  </si>
  <si>
    <t>mean bacteria concentration</t>
    <phoneticPr fontId="1" type="noConversion"/>
  </si>
  <si>
    <r>
      <rPr>
        <b/>
        <sz val="11"/>
        <color theme="1"/>
        <rFont val="Times New Roman"/>
        <family val="4"/>
      </rPr>
      <t>Temp</t>
    </r>
    <r>
      <rPr>
        <b/>
        <sz val="11"/>
        <color theme="1"/>
        <rFont val="Times New Roman"/>
        <family val="1"/>
      </rPr>
      <t>: 37 celcius</t>
    </r>
    <phoneticPr fontId="1" type="noConversion"/>
  </si>
  <si>
    <t>E. coli (initial OD: 1.0, dilute 50000x)</t>
    <phoneticPr fontId="1" type="noConversion"/>
  </si>
  <si>
    <t>AMP 0 ug/ml</t>
    <phoneticPr fontId="1" type="noConversion"/>
  </si>
  <si>
    <t>AMP 25 ug/ml</t>
    <phoneticPr fontId="1" type="noConversion"/>
  </si>
  <si>
    <t>AMP 50 ug/ml</t>
    <phoneticPr fontId="1" type="noConversion"/>
  </si>
  <si>
    <t>E. coli (initial OD: 0.78, dilute 50000x)</t>
    <phoneticPr fontId="1" type="noConversion"/>
  </si>
  <si>
    <t>AMP to E. coli second dose</t>
    <phoneticPr fontId="1" type="noConversion"/>
  </si>
  <si>
    <t>portion</t>
    <phoneticPr fontId="1" type="noConversion"/>
  </si>
  <si>
    <t>CFU</t>
    <phoneticPr fontId="1" type="noConversion"/>
  </si>
  <si>
    <t>bacteria concentration</t>
    <phoneticPr fontId="1" type="noConversion"/>
  </si>
  <si>
    <t>a</t>
    <phoneticPr fontId="1" type="noConversion"/>
  </si>
  <si>
    <t>b</t>
    <phoneticPr fontId="1" type="noConversion"/>
  </si>
  <si>
    <t>d</t>
    <phoneticPr fontId="1" type="noConversion"/>
  </si>
  <si>
    <t>e</t>
    <phoneticPr fontId="1" type="noConversion"/>
  </si>
  <si>
    <t>c</t>
    <phoneticPr fontId="1" type="noConversion"/>
  </si>
  <si>
    <t>dilution ratio (10^n)</t>
    <phoneticPr fontId="1" type="noConversion"/>
  </si>
  <si>
    <t>loading volume (λ)</t>
    <phoneticPr fontId="1" type="noConversion"/>
  </si>
  <si>
    <t>mean bacteria conc. (mL)</t>
    <phoneticPr fontId="1" type="noConversion"/>
  </si>
  <si>
    <r>
      <t>AMP</t>
    </r>
    <r>
      <rPr>
        <sz val="11"/>
        <color theme="1"/>
        <rFont val="新細明體"/>
        <family val="1"/>
        <charset val="136"/>
      </rPr>
      <t xml:space="preserve"> </t>
    </r>
    <r>
      <rPr>
        <sz val="11"/>
        <color theme="1"/>
        <rFont val="Times New Roman"/>
        <family val="1"/>
      </rPr>
      <t>concentration (ug/ml)</t>
    </r>
    <phoneticPr fontId="1" type="noConversion"/>
  </si>
  <si>
    <t>antibiotic selection</t>
    <phoneticPr fontId="1" type="noConversion"/>
  </si>
  <si>
    <t>second antibiotic effection test</t>
    <phoneticPr fontId="1" type="noConversion"/>
  </si>
  <si>
    <t>first antibiotic effection test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</si>
</sst>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"/>
  </numFmts>
  <fonts count="18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8"/>
      <color theme="1"/>
      <name val="Times New Roman"/>
      <family val="1"/>
    </font>
    <font>
      <b/>
      <sz val="11"/>
      <color theme="1"/>
      <name val="標楷體"/>
      <family val="4"/>
      <charset val="136"/>
    </font>
    <font>
      <sz val="11"/>
      <color rgb="FFFF0000"/>
      <name val="Times New Roman"/>
      <family val="1"/>
    </font>
    <font>
      <b/>
      <sz val="11"/>
      <name val="Times New Roman"/>
      <family val="1"/>
    </font>
    <font>
      <b/>
      <sz val="8"/>
      <name val="Times New Roman"/>
      <family val="1"/>
    </font>
    <font>
      <b/>
      <sz val="11"/>
      <name val="標楷體"/>
      <family val="4"/>
      <charset val="136"/>
    </font>
    <font>
      <sz val="11"/>
      <name val="Times New Roman"/>
      <family val="1"/>
    </font>
    <font>
      <sz val="11"/>
      <name val="新細明體"/>
      <family val="2"/>
      <scheme val="minor"/>
    </font>
    <font>
      <sz val="11"/>
      <name val="新細明體"/>
      <family val="1"/>
      <charset val="136"/>
      <scheme val="minor"/>
    </font>
    <font>
      <b/>
      <sz val="11"/>
      <color theme="1"/>
      <name val="Times New Roman"/>
      <family val="4"/>
    </font>
    <font>
      <b/>
      <sz val="11"/>
      <name val="Times New Roman"/>
      <family val="4"/>
    </font>
    <font>
      <b/>
      <sz val="11"/>
      <color theme="1"/>
      <name val="Segoe UI Symbol"/>
      <family val="4"/>
    </font>
    <font>
      <b/>
      <sz val="11"/>
      <name val="Segoe UI Symbol"/>
      <family val="4"/>
    </font>
    <font>
      <sz val="11"/>
      <color theme="1"/>
      <name val="新細明體"/>
      <family val="1"/>
      <charset val="136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6" fillId="0" borderId="0" xfId="0" applyFont="1"/>
    <xf numFmtId="0" fontId="3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10" fillId="0" borderId="0" xfId="0" applyFont="1"/>
    <xf numFmtId="0" fontId="2" fillId="3" borderId="0" xfId="0" applyFont="1" applyFill="1"/>
    <xf numFmtId="0" fontId="2" fillId="4" borderId="0" xfId="0" applyFont="1" applyFill="1"/>
    <xf numFmtId="0" fontId="3" fillId="2" borderId="0" xfId="0" applyFont="1" applyFill="1"/>
    <xf numFmtId="0" fontId="0" fillId="0" borderId="0" xfId="0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14" fontId="0" fillId="0" borderId="0" xfId="0" applyNumberFormat="1"/>
    <xf numFmtId="14" fontId="3" fillId="2" borderId="0" xfId="0" applyNumberFormat="1" applyFont="1" applyFill="1"/>
    <xf numFmtId="0" fontId="7" fillId="2" borderId="0" xfId="0" applyFont="1" applyFill="1"/>
    <xf numFmtId="0" fontId="3" fillId="0" borderId="0" xfId="0" applyFont="1"/>
    <xf numFmtId="0" fontId="0" fillId="3" borderId="0" xfId="0" applyFill="1"/>
    <xf numFmtId="0" fontId="2" fillId="5" borderId="0" xfId="0" applyFont="1" applyFill="1"/>
    <xf numFmtId="0" fontId="1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176" fontId="3" fillId="2" borderId="1" xfId="0" applyNumberFormat="1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14" fontId="7" fillId="2" borderId="1" xfId="0" applyNumberFormat="1" applyFont="1" applyFill="1" applyBorder="1" applyAlignment="1">
      <alignment horizontal="center"/>
    </xf>
    <xf numFmtId="0" fontId="0" fillId="3" borderId="0" xfId="0" applyFill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8"/>
  <sheetViews>
    <sheetView workbookViewId="0">
      <selection activeCell="B19" sqref="B19"/>
    </sheetView>
  </sheetViews>
  <sheetFormatPr defaultRowHeight="15" x14ac:dyDescent="0.45"/>
  <cols>
    <col min="2" max="2" width="24.5703125" bestFit="1" customWidth="1"/>
    <col min="4" max="4" width="13" bestFit="1" customWidth="1"/>
    <col min="5" max="5" width="11.7109375" customWidth="1"/>
    <col min="6" max="6" width="13" bestFit="1" customWidth="1"/>
    <col min="7" max="7" width="12.85546875" bestFit="1" customWidth="1"/>
    <col min="9" max="9" width="13" customWidth="1"/>
    <col min="13" max="13" width="25.7109375" bestFit="1" customWidth="1"/>
  </cols>
  <sheetData>
    <row r="1" spans="1:9" ht="16.899999999999999" thickBot="1" x14ac:dyDescent="0.5">
      <c r="A1">
        <v>0</v>
      </c>
      <c r="D1" s="20" t="s">
        <v>105</v>
      </c>
      <c r="E1" s="20"/>
      <c r="F1" s="20"/>
      <c r="G1" s="2" t="s">
        <v>111</v>
      </c>
      <c r="H1" s="21" t="s">
        <v>10</v>
      </c>
      <c r="I1" s="21"/>
    </row>
    <row r="2" spans="1:9" x14ac:dyDescent="0.45">
      <c r="B2" t="s">
        <v>0</v>
      </c>
      <c r="D2" t="s">
        <v>2</v>
      </c>
      <c r="E2" t="s">
        <v>4</v>
      </c>
      <c r="F2" t="s">
        <v>6</v>
      </c>
    </row>
    <row r="3" spans="1:9" x14ac:dyDescent="0.45">
      <c r="D3">
        <v>0</v>
      </c>
      <c r="E3">
        <v>0</v>
      </c>
      <c r="F3">
        <v>0</v>
      </c>
    </row>
    <row r="4" spans="1:9" x14ac:dyDescent="0.45">
      <c r="D4">
        <v>10</v>
      </c>
      <c r="E4">
        <v>1.3999999999999999E-2</v>
      </c>
      <c r="F4">
        <v>1.0198039027185571E-2</v>
      </c>
    </row>
    <row r="5" spans="1:9" x14ac:dyDescent="0.45">
      <c r="D5">
        <v>13</v>
      </c>
      <c r="E5">
        <v>1.7999999999999999E-2</v>
      </c>
      <c r="F5">
        <v>1.4696938456699071E-2</v>
      </c>
    </row>
    <row r="6" spans="1:9" x14ac:dyDescent="0.45">
      <c r="D6">
        <v>16</v>
      </c>
      <c r="E6">
        <v>5.6000000000000008E-2</v>
      </c>
      <c r="F6">
        <v>1.7435595774162673E-2</v>
      </c>
    </row>
    <row r="7" spans="1:9" x14ac:dyDescent="0.45">
      <c r="D7">
        <v>19</v>
      </c>
      <c r="E7">
        <v>7.3999999999999996E-2</v>
      </c>
      <c r="F7">
        <v>2.3323807579381229E-2</v>
      </c>
    </row>
    <row r="8" spans="1:9" x14ac:dyDescent="0.45">
      <c r="D8">
        <v>22</v>
      </c>
      <c r="E8">
        <v>0.10200000000000001</v>
      </c>
      <c r="F8">
        <v>2.9933259094191554E-2</v>
      </c>
    </row>
    <row r="9" spans="1:9" x14ac:dyDescent="0.45">
      <c r="D9">
        <v>25</v>
      </c>
      <c r="E9">
        <v>0.17799999999999999</v>
      </c>
      <c r="F9">
        <v>1.8330302779823442E-2</v>
      </c>
    </row>
    <row r="10" spans="1:9" x14ac:dyDescent="0.45">
      <c r="D10">
        <v>28</v>
      </c>
      <c r="E10">
        <v>0.32</v>
      </c>
      <c r="F10">
        <v>1.7888543819998316E-2</v>
      </c>
    </row>
    <row r="11" spans="1:9" x14ac:dyDescent="0.45">
      <c r="D11">
        <v>31</v>
      </c>
      <c r="E11">
        <v>0.56600000000000006</v>
      </c>
      <c r="F11">
        <v>1.0198039027185531E-2</v>
      </c>
    </row>
    <row r="12" spans="1:9" x14ac:dyDescent="0.45">
      <c r="D12">
        <v>34</v>
      </c>
      <c r="E12">
        <v>0.78600000000000003</v>
      </c>
      <c r="F12">
        <v>1.3564659966250548E-2</v>
      </c>
    </row>
    <row r="13" spans="1:9" x14ac:dyDescent="0.45">
      <c r="D13">
        <v>37</v>
      </c>
      <c r="E13">
        <v>0.93200000000000005</v>
      </c>
      <c r="F13">
        <v>7.4833147735478417E-3</v>
      </c>
    </row>
    <row r="14" spans="1:9" x14ac:dyDescent="0.45">
      <c r="D14">
        <v>40</v>
      </c>
      <c r="E14">
        <v>0.97599999999999998</v>
      </c>
      <c r="F14">
        <v>4.8989794855663609E-3</v>
      </c>
    </row>
    <row r="15" spans="1:9" x14ac:dyDescent="0.45">
      <c r="D15">
        <v>43</v>
      </c>
      <c r="E15">
        <v>0.98399999999999999</v>
      </c>
      <c r="F15">
        <v>1.0198039027185579E-2</v>
      </c>
    </row>
    <row r="16" spans="1:9" x14ac:dyDescent="0.45">
      <c r="D16">
        <v>46</v>
      </c>
      <c r="E16">
        <v>0.97</v>
      </c>
      <c r="F16">
        <v>2.5298221281347056E-2</v>
      </c>
    </row>
    <row r="17" spans="4:21" x14ac:dyDescent="0.45">
      <c r="D17">
        <v>49</v>
      </c>
      <c r="E17">
        <v>0.94399999999999995</v>
      </c>
      <c r="F17">
        <v>7.9999999999999672E-3</v>
      </c>
    </row>
    <row r="18" spans="4:21" x14ac:dyDescent="0.45">
      <c r="D18">
        <v>52</v>
      </c>
      <c r="E18">
        <v>0.94400000000000017</v>
      </c>
      <c r="F18">
        <v>2.0591260281973976E-2</v>
      </c>
    </row>
    <row r="19" spans="4:21" x14ac:dyDescent="0.45">
      <c r="D19">
        <v>55</v>
      </c>
      <c r="E19">
        <v>0.97200000000000009</v>
      </c>
      <c r="F19">
        <v>1.1661903789690611E-2</v>
      </c>
    </row>
    <row r="20" spans="4:21" x14ac:dyDescent="0.45">
      <c r="D20">
        <v>66</v>
      </c>
      <c r="E20">
        <v>0.92799999999999994</v>
      </c>
      <c r="F20">
        <v>2.9257477676655565E-2</v>
      </c>
    </row>
    <row r="21" spans="4:21" x14ac:dyDescent="0.45">
      <c r="D21">
        <v>76</v>
      </c>
      <c r="E21">
        <v>1.002</v>
      </c>
      <c r="F21">
        <v>1.7204650534085267E-2</v>
      </c>
      <c r="O21" s="1"/>
      <c r="P21" s="1"/>
      <c r="Q21" s="1"/>
    </row>
    <row r="22" spans="4:21" x14ac:dyDescent="0.45">
      <c r="D22">
        <v>88</v>
      </c>
      <c r="E22">
        <v>1.042</v>
      </c>
      <c r="F22">
        <v>1.1661903789690611E-2</v>
      </c>
      <c r="O22" s="1"/>
      <c r="P22" s="1"/>
      <c r="Q22" s="1"/>
      <c r="S22" s="1"/>
      <c r="T22" s="1"/>
      <c r="U22" s="1"/>
    </row>
    <row r="23" spans="4:21" x14ac:dyDescent="0.45">
      <c r="O23" s="1"/>
      <c r="P23" s="1"/>
      <c r="Q23" s="1"/>
      <c r="S23" s="1"/>
      <c r="T23" s="1"/>
      <c r="U23" s="1"/>
    </row>
    <row r="24" spans="4:21" x14ac:dyDescent="0.45">
      <c r="O24" s="1"/>
      <c r="P24" s="1"/>
      <c r="Q24" s="1"/>
      <c r="S24" s="1"/>
      <c r="T24" s="1"/>
      <c r="U24" s="1"/>
    </row>
    <row r="25" spans="4:21" ht="16.899999999999999" thickBot="1" x14ac:dyDescent="0.5">
      <c r="D25" s="20" t="s">
        <v>107</v>
      </c>
      <c r="E25" s="20"/>
      <c r="F25" s="20"/>
      <c r="G25" s="2" t="s">
        <v>111</v>
      </c>
      <c r="H25" s="21" t="s">
        <v>11</v>
      </c>
      <c r="I25" s="21"/>
    </row>
    <row r="26" spans="4:21" x14ac:dyDescent="0.45">
      <c r="D26" t="s">
        <v>2</v>
      </c>
      <c r="E26" t="s">
        <v>4</v>
      </c>
      <c r="F26" t="s">
        <v>6</v>
      </c>
    </row>
    <row r="27" spans="4:21" x14ac:dyDescent="0.45">
      <c r="D27" s="1">
        <v>0</v>
      </c>
      <c r="E27" s="1">
        <v>3.4000000000000002E-2</v>
      </c>
      <c r="F27" s="1">
        <v>1.1999999999999992E-2</v>
      </c>
    </row>
    <row r="28" spans="4:21" x14ac:dyDescent="0.45">
      <c r="D28" s="1">
        <v>10</v>
      </c>
      <c r="E28" s="1">
        <v>8.2000000000000003E-2</v>
      </c>
      <c r="F28" s="1">
        <v>7.4833147735478781E-3</v>
      </c>
    </row>
    <row r="29" spans="4:21" x14ac:dyDescent="0.45">
      <c r="D29" s="1">
        <v>13</v>
      </c>
      <c r="E29" s="1">
        <v>0.182</v>
      </c>
      <c r="F29" s="1">
        <v>1.3266499161421603E-2</v>
      </c>
    </row>
    <row r="30" spans="4:21" x14ac:dyDescent="0.45">
      <c r="D30" s="1">
        <v>16</v>
      </c>
      <c r="E30" s="1">
        <v>0.378</v>
      </c>
      <c r="F30" s="1">
        <v>1.1661903789690611E-2</v>
      </c>
    </row>
    <row r="31" spans="4:21" x14ac:dyDescent="0.45">
      <c r="D31" s="1">
        <v>19</v>
      </c>
      <c r="E31" s="1">
        <v>0.66399999999999992</v>
      </c>
      <c r="F31" s="1">
        <v>1.3564659966250548E-2</v>
      </c>
    </row>
    <row r="32" spans="4:21" x14ac:dyDescent="0.45">
      <c r="D32" s="1">
        <v>22</v>
      </c>
      <c r="E32" s="1">
        <v>0.83599999999999997</v>
      </c>
      <c r="F32" s="1">
        <v>1.3564659966250548E-2</v>
      </c>
    </row>
    <row r="33" spans="4:6" x14ac:dyDescent="0.45">
      <c r="D33" s="1">
        <v>25</v>
      </c>
      <c r="E33" s="1">
        <v>1.054</v>
      </c>
      <c r="F33" s="1">
        <v>1.4966629547095779E-2</v>
      </c>
    </row>
    <row r="34" spans="4:6" x14ac:dyDescent="0.45">
      <c r="D34" s="1">
        <v>28.333333333333332</v>
      </c>
      <c r="E34" s="1">
        <v>1.0860000000000001</v>
      </c>
      <c r="F34" s="1">
        <v>1.3564659966250548E-2</v>
      </c>
    </row>
    <row r="35" spans="4:6" x14ac:dyDescent="0.45">
      <c r="D35" s="1">
        <v>30.5</v>
      </c>
      <c r="E35" s="1">
        <v>1.1120000000000001</v>
      </c>
      <c r="F35" s="1">
        <v>1.3266499161421551E-2</v>
      </c>
    </row>
    <row r="36" spans="4:6" x14ac:dyDescent="0.45">
      <c r="D36" s="1">
        <v>34</v>
      </c>
      <c r="E36" s="1">
        <v>1.1479999999999999</v>
      </c>
      <c r="F36" s="1">
        <v>1.7204650534085198E-2</v>
      </c>
    </row>
    <row r="37" spans="4:6" x14ac:dyDescent="0.45">
      <c r="D37" s="1">
        <v>37</v>
      </c>
      <c r="E37" s="1">
        <v>1.1280000000000001</v>
      </c>
      <c r="F37" s="1">
        <v>1.3266499161421523E-2</v>
      </c>
    </row>
    <row r="38" spans="4:6" x14ac:dyDescent="0.45">
      <c r="D38" s="1">
        <v>40</v>
      </c>
      <c r="E38" s="1">
        <v>1.1080000000000001</v>
      </c>
      <c r="F38" s="1">
        <v>1.7204650534085215E-2</v>
      </c>
    </row>
    <row r="39" spans="4:6" x14ac:dyDescent="0.45">
      <c r="D39" s="1">
        <v>43</v>
      </c>
      <c r="E39" s="1">
        <v>1.1359999999999999</v>
      </c>
      <c r="F39" s="1">
        <v>8.2121860670591226E-2</v>
      </c>
    </row>
    <row r="40" spans="4:6" x14ac:dyDescent="0.45">
      <c r="D40" s="1">
        <v>46</v>
      </c>
      <c r="E40" s="1">
        <v>1.1320000000000001</v>
      </c>
      <c r="F40" s="1">
        <v>1.1661903789690519E-2</v>
      </c>
    </row>
    <row r="41" spans="4:6" x14ac:dyDescent="0.45">
      <c r="D41" s="1">
        <v>49</v>
      </c>
      <c r="E41" s="1">
        <v>1.0840000000000001</v>
      </c>
      <c r="F41" s="1">
        <v>8.0000000000000071E-3</v>
      </c>
    </row>
    <row r="42" spans="4:6" x14ac:dyDescent="0.45">
      <c r="D42" s="1">
        <v>61</v>
      </c>
      <c r="E42" s="1">
        <v>1.1039999999999999</v>
      </c>
      <c r="F42" s="1">
        <v>4.89897948556636E-3</v>
      </c>
    </row>
    <row r="43" spans="4:6" x14ac:dyDescent="0.45">
      <c r="D43" s="1">
        <v>73.25</v>
      </c>
      <c r="E43" s="1">
        <v>1.0820000000000001</v>
      </c>
      <c r="F43" s="1">
        <v>1.4696938456699083E-2</v>
      </c>
    </row>
    <row r="44" spans="4:6" x14ac:dyDescent="0.45">
      <c r="D44" s="1">
        <v>121</v>
      </c>
      <c r="E44" s="1">
        <v>1.1919999999999997</v>
      </c>
      <c r="F44" s="1">
        <v>1.1661903789690611E-2</v>
      </c>
    </row>
    <row r="45" spans="4:6" x14ac:dyDescent="0.45">
      <c r="D45" s="1">
        <v>130</v>
      </c>
      <c r="E45" s="1">
        <v>1.1919999999999997</v>
      </c>
      <c r="F45" s="1">
        <v>1.1661903789690611E-2</v>
      </c>
    </row>
    <row r="46" spans="4:6" x14ac:dyDescent="0.45">
      <c r="D46" s="1">
        <v>178</v>
      </c>
      <c r="E46" s="1">
        <v>1.26</v>
      </c>
      <c r="F46" s="1">
        <v>1.4142135623730963E-2</v>
      </c>
    </row>
    <row r="47" spans="4:6" x14ac:dyDescent="0.45">
      <c r="D47" s="1">
        <v>202</v>
      </c>
      <c r="E47" s="1">
        <v>1.234</v>
      </c>
      <c r="F47" s="1">
        <v>1.4966629547095779E-2</v>
      </c>
    </row>
    <row r="48" spans="4:6" x14ac:dyDescent="0.45">
      <c r="D48" s="1">
        <v>226</v>
      </c>
      <c r="E48" s="1">
        <v>1.252</v>
      </c>
      <c r="F48" s="1">
        <v>4.0000000000000036E-3</v>
      </c>
    </row>
  </sheetData>
  <mergeCells count="4">
    <mergeCell ref="D1:F1"/>
    <mergeCell ref="H1:I1"/>
    <mergeCell ref="D25:F25"/>
    <mergeCell ref="H25:I25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2C29E-CE39-43D5-8ECD-4468CDC243C7}">
  <dimension ref="A1:I18"/>
  <sheetViews>
    <sheetView workbookViewId="0">
      <selection activeCell="B2" sqref="B2"/>
    </sheetView>
  </sheetViews>
  <sheetFormatPr defaultRowHeight="15" x14ac:dyDescent="0.45"/>
  <cols>
    <col min="2" max="2" width="25.7109375" bestFit="1" customWidth="1"/>
    <col min="4" max="6" width="13" bestFit="1" customWidth="1"/>
    <col min="7" max="7" width="12.85546875" bestFit="1" customWidth="1"/>
    <col min="9" max="9" width="11.85546875" customWidth="1"/>
  </cols>
  <sheetData>
    <row r="1" spans="1:9" ht="16.899999999999999" thickBot="1" x14ac:dyDescent="0.5">
      <c r="A1">
        <v>0</v>
      </c>
      <c r="D1" s="20" t="s">
        <v>104</v>
      </c>
      <c r="E1" s="20"/>
      <c r="F1" s="20"/>
      <c r="G1" s="2" t="s">
        <v>111</v>
      </c>
      <c r="H1" s="21" t="s">
        <v>11</v>
      </c>
      <c r="I1" s="21"/>
    </row>
    <row r="2" spans="1:9" x14ac:dyDescent="0.45">
      <c r="B2" t="s">
        <v>7</v>
      </c>
      <c r="D2" t="s">
        <v>2</v>
      </c>
      <c r="E2" t="s">
        <v>9</v>
      </c>
      <c r="F2" t="s">
        <v>6</v>
      </c>
    </row>
    <row r="3" spans="1:9" x14ac:dyDescent="0.45">
      <c r="D3" s="1">
        <v>0</v>
      </c>
      <c r="E3">
        <v>4154000</v>
      </c>
      <c r="F3">
        <v>524381.54048364446</v>
      </c>
    </row>
    <row r="4" spans="1:9" x14ac:dyDescent="0.45">
      <c r="D4" s="1">
        <v>10</v>
      </c>
      <c r="E4">
        <v>31500000</v>
      </c>
      <c r="F4">
        <v>1672323.7326147908</v>
      </c>
    </row>
    <row r="5" spans="1:9" x14ac:dyDescent="0.45">
      <c r="D5" s="1">
        <v>13</v>
      </c>
      <c r="E5">
        <v>64400000</v>
      </c>
      <c r="F5">
        <v>6374950.9802036909</v>
      </c>
    </row>
    <row r="6" spans="1:9" x14ac:dyDescent="0.45">
      <c r="D6" s="1">
        <v>16</v>
      </c>
      <c r="E6">
        <v>105500000</v>
      </c>
      <c r="F6">
        <v>6689544.0801298264</v>
      </c>
    </row>
    <row r="7" spans="1:9" x14ac:dyDescent="0.45">
      <c r="D7" s="1">
        <v>19</v>
      </c>
      <c r="E7">
        <v>83933333.333333328</v>
      </c>
      <c r="F7">
        <v>3497300.5462944005</v>
      </c>
    </row>
    <row r="8" spans="1:9" x14ac:dyDescent="0.45">
      <c r="D8" s="1">
        <v>22</v>
      </c>
      <c r="E8">
        <v>163000000</v>
      </c>
      <c r="F8">
        <v>27313000.567495327</v>
      </c>
    </row>
    <row r="9" spans="1:9" x14ac:dyDescent="0.45">
      <c r="D9" s="1">
        <v>25</v>
      </c>
      <c r="E9">
        <v>288000000</v>
      </c>
      <c r="F9">
        <v>28456594.627217393</v>
      </c>
    </row>
    <row r="10" spans="1:9" x14ac:dyDescent="0.45">
      <c r="D10" s="1">
        <v>28.333333333333332</v>
      </c>
      <c r="E10">
        <v>300250000</v>
      </c>
      <c r="F10">
        <v>39808918.598726086</v>
      </c>
    </row>
    <row r="11" spans="1:9" x14ac:dyDescent="0.45">
      <c r="D11" s="1">
        <v>30.5</v>
      </c>
      <c r="E11">
        <v>287000000</v>
      </c>
      <c r="F11">
        <v>21969676.07104544</v>
      </c>
    </row>
    <row r="12" spans="1:9" x14ac:dyDescent="0.45">
      <c r="D12" s="1">
        <v>37</v>
      </c>
      <c r="E12">
        <v>434600000</v>
      </c>
      <c r="F12">
        <v>38295691.663684569</v>
      </c>
    </row>
    <row r="13" spans="1:9" x14ac:dyDescent="0.45">
      <c r="D13" s="1">
        <v>40</v>
      </c>
      <c r="E13">
        <v>329166666.66666663</v>
      </c>
      <c r="F13">
        <v>27457037.146948118</v>
      </c>
    </row>
    <row r="14" spans="1:9" x14ac:dyDescent="0.45">
      <c r="D14" s="1">
        <v>43</v>
      </c>
      <c r="E14">
        <v>269083333.33333331</v>
      </c>
      <c r="F14">
        <v>43950413.978583738</v>
      </c>
    </row>
    <row r="15" spans="1:9" x14ac:dyDescent="0.45">
      <c r="D15" s="1">
        <v>46</v>
      </c>
      <c r="E15">
        <v>364250000</v>
      </c>
      <c r="F15">
        <v>75969840.507050335</v>
      </c>
    </row>
    <row r="16" spans="1:9" x14ac:dyDescent="0.45">
      <c r="D16" s="1">
        <v>49</v>
      </c>
      <c r="E16">
        <v>288000000</v>
      </c>
      <c r="F16">
        <v>47651512.742689155</v>
      </c>
    </row>
    <row r="17" spans="4:6" x14ac:dyDescent="0.45">
      <c r="D17" s="1">
        <v>73.25</v>
      </c>
      <c r="E17">
        <v>349400000</v>
      </c>
      <c r="F17">
        <v>52765140.007395037</v>
      </c>
    </row>
    <row r="18" spans="4:6" x14ac:dyDescent="0.45">
      <c r="D18" s="1">
        <v>121</v>
      </c>
      <c r="E18">
        <v>81500000</v>
      </c>
      <c r="F18">
        <v>17291616.465790581</v>
      </c>
    </row>
  </sheetData>
  <mergeCells count="2">
    <mergeCell ref="D1:F1"/>
    <mergeCell ref="H1:I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7F7F8-CD70-4D4D-92DC-B082C65C2672}">
  <dimension ref="A1:I32"/>
  <sheetViews>
    <sheetView workbookViewId="0">
      <selection activeCell="B2" sqref="B2"/>
    </sheetView>
  </sheetViews>
  <sheetFormatPr defaultRowHeight="15" x14ac:dyDescent="0.45"/>
  <cols>
    <col min="2" max="2" width="23.28515625" bestFit="1" customWidth="1"/>
    <col min="4" max="4" width="13" customWidth="1"/>
    <col min="5" max="5" width="7.5703125" customWidth="1"/>
    <col min="6" max="6" width="13" bestFit="1" customWidth="1"/>
    <col min="7" max="7" width="12.85546875" bestFit="1" customWidth="1"/>
    <col min="9" max="9" width="13.140625" customWidth="1"/>
  </cols>
  <sheetData>
    <row r="1" spans="1:9" ht="16.899999999999999" thickBot="1" x14ac:dyDescent="0.65">
      <c r="A1">
        <v>0</v>
      </c>
      <c r="D1" s="22" t="s">
        <v>106</v>
      </c>
      <c r="E1" s="22"/>
      <c r="F1" s="22"/>
      <c r="G1" s="4" t="s">
        <v>112</v>
      </c>
      <c r="H1" s="22" t="s">
        <v>13</v>
      </c>
      <c r="I1" s="22"/>
    </row>
    <row r="2" spans="1:9" x14ac:dyDescent="0.45">
      <c r="B2" t="s">
        <v>12</v>
      </c>
      <c r="D2" t="s">
        <v>2</v>
      </c>
      <c r="E2" t="s">
        <v>4</v>
      </c>
      <c r="F2" t="s">
        <v>6</v>
      </c>
    </row>
    <row r="3" spans="1:9" x14ac:dyDescent="0.45">
      <c r="D3" s="1">
        <v>0</v>
      </c>
      <c r="E3" s="1">
        <v>2E-3</v>
      </c>
      <c r="F3" s="1">
        <v>4.0000000000000001E-3</v>
      </c>
    </row>
    <row r="4" spans="1:9" x14ac:dyDescent="0.45">
      <c r="D4" s="1">
        <v>0.5</v>
      </c>
      <c r="E4" s="1">
        <v>1.2E-2</v>
      </c>
      <c r="F4" s="1">
        <v>7.4833147735478833E-3</v>
      </c>
    </row>
    <row r="5" spans="1:9" x14ac:dyDescent="0.45">
      <c r="D5" s="1">
        <v>1</v>
      </c>
      <c r="E5" s="1">
        <v>2.1999999999999999E-2</v>
      </c>
      <c r="F5" s="1">
        <v>7.4833147735478885E-3</v>
      </c>
    </row>
    <row r="6" spans="1:9" x14ac:dyDescent="0.45">
      <c r="D6" s="1">
        <v>1.6666666666666665</v>
      </c>
      <c r="E6" s="1">
        <v>3.8000000000000006E-2</v>
      </c>
      <c r="F6" s="1">
        <v>7.4833147735478599E-3</v>
      </c>
    </row>
    <row r="7" spans="1:9" x14ac:dyDescent="0.45">
      <c r="D7" s="1">
        <v>2.1666666666666665</v>
      </c>
      <c r="E7" s="1">
        <v>7.0000000000000007E-2</v>
      </c>
      <c r="F7" s="1">
        <v>1.0954451150103328E-2</v>
      </c>
    </row>
    <row r="8" spans="1:9" x14ac:dyDescent="0.45">
      <c r="D8" s="1">
        <v>2.6666666666666665</v>
      </c>
      <c r="E8" s="1">
        <v>0.11599999999999999</v>
      </c>
      <c r="F8" s="1">
        <v>4.898979485566354E-3</v>
      </c>
    </row>
    <row r="9" spans="1:9" x14ac:dyDescent="0.45">
      <c r="D9" s="6">
        <v>3.1666666666666665</v>
      </c>
      <c r="E9" s="6">
        <v>0.24399999999999999</v>
      </c>
      <c r="F9" s="6">
        <v>4.8989794855663609E-3</v>
      </c>
    </row>
    <row r="10" spans="1:9" x14ac:dyDescent="0.45">
      <c r="D10" s="6">
        <v>3.75</v>
      </c>
      <c r="E10" s="6">
        <v>0.4</v>
      </c>
      <c r="F10" s="6">
        <v>1.0954451150103312E-2</v>
      </c>
    </row>
    <row r="11" spans="1:9" x14ac:dyDescent="0.45">
      <c r="D11" s="6">
        <v>4.25</v>
      </c>
      <c r="E11" s="6">
        <v>0.51800000000000002</v>
      </c>
      <c r="F11" s="6">
        <v>7.4833147735478894E-3</v>
      </c>
    </row>
    <row r="12" spans="1:9" x14ac:dyDescent="0.45">
      <c r="D12" s="6">
        <v>4.75</v>
      </c>
      <c r="E12" s="6">
        <v>0.64600000000000013</v>
      </c>
      <c r="F12" s="6">
        <v>4.89897948556636E-3</v>
      </c>
    </row>
    <row r="13" spans="1:9" x14ac:dyDescent="0.45">
      <c r="D13" s="6">
        <v>5.25</v>
      </c>
      <c r="E13" s="6">
        <v>0.78400000000000003</v>
      </c>
      <c r="F13" s="6">
        <v>8.0000000000000071E-3</v>
      </c>
    </row>
    <row r="14" spans="1:9" x14ac:dyDescent="0.45">
      <c r="D14" s="6">
        <v>5.75</v>
      </c>
      <c r="E14" s="6">
        <v>0.92400000000000004</v>
      </c>
      <c r="F14" s="6">
        <v>8.0000000000000071E-3</v>
      </c>
    </row>
    <row r="15" spans="1:9" x14ac:dyDescent="0.45">
      <c r="D15" s="6">
        <v>6.25</v>
      </c>
      <c r="E15" s="6">
        <v>1.0740000000000001</v>
      </c>
      <c r="F15" s="6">
        <v>8.0000000000000071E-3</v>
      </c>
    </row>
    <row r="16" spans="1:9" x14ac:dyDescent="0.45">
      <c r="D16" s="6">
        <v>6.75</v>
      </c>
      <c r="E16" s="6">
        <v>1.2040000000000002</v>
      </c>
      <c r="F16" s="6">
        <v>1.0198039027185579E-2</v>
      </c>
    </row>
    <row r="17" spans="4:6" x14ac:dyDescent="0.45">
      <c r="D17" s="6">
        <v>7.25</v>
      </c>
      <c r="E17" s="6">
        <v>1.36</v>
      </c>
      <c r="F17" s="6">
        <v>6.324555320336764E-3</v>
      </c>
    </row>
    <row r="18" spans="4:6" x14ac:dyDescent="0.45">
      <c r="D18" s="6">
        <v>7.75</v>
      </c>
      <c r="E18" s="6">
        <v>1.518</v>
      </c>
      <c r="F18" s="6">
        <v>7.4833147735478894E-3</v>
      </c>
    </row>
    <row r="19" spans="4:6" x14ac:dyDescent="0.45">
      <c r="D19" s="6">
        <v>8.25</v>
      </c>
      <c r="E19" s="6">
        <v>1.6379999999999999</v>
      </c>
      <c r="F19" s="6">
        <v>4.0000000000000036E-3</v>
      </c>
    </row>
    <row r="20" spans="4:6" x14ac:dyDescent="0.45">
      <c r="D20" s="6">
        <v>8.75</v>
      </c>
      <c r="E20" s="6">
        <v>1.7119999999999997</v>
      </c>
      <c r="F20" s="6">
        <v>7.4833147735478894E-3</v>
      </c>
    </row>
    <row r="21" spans="4:6" x14ac:dyDescent="0.45">
      <c r="D21" s="6">
        <v>9.25</v>
      </c>
      <c r="E21" s="6">
        <v>1.78</v>
      </c>
      <c r="F21" s="6">
        <v>6.324555320336764E-3</v>
      </c>
    </row>
    <row r="22" spans="4:6" x14ac:dyDescent="0.45">
      <c r="D22" s="6">
        <v>9.75</v>
      </c>
      <c r="E22" s="6">
        <v>1.8539999999999999</v>
      </c>
      <c r="F22" s="6">
        <v>8.0000000000000071E-3</v>
      </c>
    </row>
    <row r="23" spans="4:6" x14ac:dyDescent="0.45">
      <c r="D23" s="6">
        <v>10.25</v>
      </c>
      <c r="E23" s="6">
        <v>1.9099999999999997</v>
      </c>
      <c r="F23" s="6">
        <v>6.324555320336764E-3</v>
      </c>
    </row>
    <row r="24" spans="4:6" x14ac:dyDescent="0.45">
      <c r="D24" s="1">
        <v>10.75</v>
      </c>
      <c r="E24" s="1">
        <v>1.9600000000000002</v>
      </c>
      <c r="F24" s="1">
        <v>1.0954451150103331E-2</v>
      </c>
    </row>
    <row r="25" spans="4:6" x14ac:dyDescent="0.45">
      <c r="D25" s="1">
        <v>11</v>
      </c>
      <c r="E25" s="1">
        <v>1.9740000000000002</v>
      </c>
      <c r="F25" s="1">
        <v>1.6248076809271934E-2</v>
      </c>
    </row>
    <row r="26" spans="4:6" x14ac:dyDescent="0.45">
      <c r="D26" s="1"/>
      <c r="E26" s="1"/>
      <c r="F26" s="1"/>
    </row>
    <row r="27" spans="4:6" x14ac:dyDescent="0.45">
      <c r="D27" s="1"/>
      <c r="E27" s="1"/>
      <c r="F27" s="1"/>
    </row>
    <row r="28" spans="4:6" x14ac:dyDescent="0.45">
      <c r="D28" s="1"/>
      <c r="E28" s="1"/>
      <c r="F28" s="1"/>
    </row>
    <row r="29" spans="4:6" x14ac:dyDescent="0.45">
      <c r="D29" s="1"/>
      <c r="E29" s="1"/>
      <c r="F29" s="1"/>
    </row>
    <row r="30" spans="4:6" x14ac:dyDescent="0.45">
      <c r="D30" s="1"/>
      <c r="E30" s="1"/>
      <c r="F30" s="1"/>
    </row>
    <row r="31" spans="4:6" x14ac:dyDescent="0.45">
      <c r="D31" s="1"/>
      <c r="E31" s="1"/>
      <c r="F31" s="1"/>
    </row>
    <row r="32" spans="4:6" x14ac:dyDescent="0.45">
      <c r="D32" s="1"/>
      <c r="E32" s="1"/>
      <c r="F32" s="1"/>
    </row>
  </sheetData>
  <mergeCells count="2">
    <mergeCell ref="D1:F1"/>
    <mergeCell ref="H1:I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39A53-9A00-474A-B42C-97E51DD938D4}">
  <dimension ref="A1:I48"/>
  <sheetViews>
    <sheetView workbookViewId="0">
      <selection activeCell="B2" sqref="B2"/>
    </sheetView>
  </sheetViews>
  <sheetFormatPr defaultRowHeight="15" x14ac:dyDescent="0.45"/>
  <cols>
    <col min="2" max="2" width="24.42578125" bestFit="1" customWidth="1"/>
    <col min="4" max="4" width="17.5703125" customWidth="1"/>
    <col min="5" max="5" width="17.42578125" customWidth="1"/>
    <col min="6" max="6" width="13" bestFit="1" customWidth="1"/>
    <col min="7" max="7" width="12.85546875" bestFit="1" customWidth="1"/>
    <col min="9" max="9" width="14.42578125" customWidth="1"/>
  </cols>
  <sheetData>
    <row r="1" spans="2:9" ht="16.899999999999999" thickBot="1" x14ac:dyDescent="0.65">
      <c r="D1" s="22" t="s">
        <v>106</v>
      </c>
      <c r="E1" s="22"/>
      <c r="F1" s="22"/>
      <c r="G1" s="4" t="s">
        <v>112</v>
      </c>
      <c r="H1" s="22" t="s">
        <v>13</v>
      </c>
      <c r="I1" s="22"/>
    </row>
    <row r="2" spans="2:9" x14ac:dyDescent="0.45">
      <c r="B2" t="s">
        <v>15</v>
      </c>
      <c r="D2" t="s">
        <v>2</v>
      </c>
      <c r="E2" t="s">
        <v>9</v>
      </c>
      <c r="F2" t="s">
        <v>6</v>
      </c>
    </row>
    <row r="3" spans="2:9" x14ac:dyDescent="0.45">
      <c r="D3" s="1">
        <v>0</v>
      </c>
      <c r="E3" s="1">
        <v>1103333.3333333335</v>
      </c>
      <c r="F3" s="1">
        <v>283940.52585395804</v>
      </c>
    </row>
    <row r="4" spans="2:9" x14ac:dyDescent="0.45">
      <c r="D4" s="1">
        <v>1</v>
      </c>
      <c r="E4" s="1">
        <v>2044166.6666666667</v>
      </c>
      <c r="F4" s="1">
        <v>381178.72739991959</v>
      </c>
    </row>
    <row r="5" spans="2:9" x14ac:dyDescent="0.45">
      <c r="D5" s="1">
        <v>2.1666666666666665</v>
      </c>
      <c r="E5" s="1">
        <v>6050000</v>
      </c>
      <c r="F5" s="1">
        <v>876070.77339676162</v>
      </c>
    </row>
    <row r="6" spans="2:9" x14ac:dyDescent="0.45">
      <c r="D6" s="3">
        <v>3.1666666666666665</v>
      </c>
      <c r="E6" s="3">
        <v>106000000</v>
      </c>
      <c r="F6" s="3">
        <v>3741657.3867739416</v>
      </c>
    </row>
    <row r="7" spans="2:9" x14ac:dyDescent="0.45">
      <c r="D7" s="1">
        <v>3.75</v>
      </c>
      <c r="E7" s="1">
        <v>29000000</v>
      </c>
      <c r="F7" s="1">
        <v>5385164.8071345044</v>
      </c>
    </row>
    <row r="8" spans="2:9" x14ac:dyDescent="0.45">
      <c r="D8" s="1">
        <v>4.25</v>
      </c>
      <c r="E8" s="1">
        <v>44400000</v>
      </c>
      <c r="F8" s="1">
        <v>3878143.885933063</v>
      </c>
    </row>
    <row r="9" spans="2:9" x14ac:dyDescent="0.45">
      <c r="D9" s="1">
        <v>4.75</v>
      </c>
      <c r="E9" s="1">
        <v>64000000</v>
      </c>
      <c r="F9" s="1">
        <v>5830951.8948453004</v>
      </c>
    </row>
    <row r="10" spans="2:9" x14ac:dyDescent="0.45">
      <c r="D10" s="1">
        <v>5.25</v>
      </c>
      <c r="E10" s="1">
        <v>125000000</v>
      </c>
      <c r="F10" s="1">
        <v>32031234.75609393</v>
      </c>
    </row>
    <row r="11" spans="2:9" x14ac:dyDescent="0.45">
      <c r="D11" s="1">
        <v>7.25</v>
      </c>
      <c r="E11" s="1">
        <v>285000000</v>
      </c>
      <c r="F11" s="1">
        <v>29559732.369860485</v>
      </c>
    </row>
    <row r="12" spans="2:9" x14ac:dyDescent="0.45">
      <c r="D12" s="3">
        <v>8.75</v>
      </c>
      <c r="E12" s="3">
        <v>746666666.66666663</v>
      </c>
      <c r="F12" s="3">
        <v>112743563.50191842</v>
      </c>
    </row>
    <row r="13" spans="2:9" x14ac:dyDescent="0.45">
      <c r="D13" s="3">
        <v>9.25</v>
      </c>
      <c r="E13" s="3">
        <v>666666666.66666663</v>
      </c>
      <c r="F13" s="3">
        <v>57348835.11361751</v>
      </c>
    </row>
    <row r="14" spans="2:9" x14ac:dyDescent="0.45">
      <c r="D14" s="3">
        <v>9.75</v>
      </c>
      <c r="E14" s="3">
        <v>486000000</v>
      </c>
      <c r="F14" s="3">
        <v>152105226.73465237</v>
      </c>
    </row>
    <row r="15" spans="2:9" x14ac:dyDescent="0.45">
      <c r="D15" s="3">
        <v>10.25</v>
      </c>
      <c r="E15" s="3">
        <v>417500000</v>
      </c>
      <c r="F15" s="3">
        <v>89302855.497458756</v>
      </c>
    </row>
    <row r="16" spans="2:9" x14ac:dyDescent="0.45">
      <c r="D16" s="1">
        <v>12</v>
      </c>
      <c r="E16" s="1">
        <v>422500000</v>
      </c>
      <c r="F16" s="1">
        <v>166658333.12498957</v>
      </c>
    </row>
    <row r="17" spans="1:8" x14ac:dyDescent="0.45">
      <c r="D17" s="1">
        <v>17.3</v>
      </c>
      <c r="E17" s="1">
        <v>776000000</v>
      </c>
      <c r="F17" s="1">
        <v>94994736.696303338</v>
      </c>
    </row>
    <row r="18" spans="1:8" x14ac:dyDescent="0.45">
      <c r="D18" s="1">
        <v>23.066666666666666</v>
      </c>
      <c r="E18" s="1">
        <v>1270000000</v>
      </c>
      <c r="F18" s="1">
        <v>130000000</v>
      </c>
    </row>
    <row r="19" spans="1:8" x14ac:dyDescent="0.45">
      <c r="D19" s="1">
        <v>23.8</v>
      </c>
      <c r="E19" s="1">
        <v>1335000000</v>
      </c>
      <c r="F19" s="1">
        <v>178535710.71357125</v>
      </c>
    </row>
    <row r="20" spans="1:8" x14ac:dyDescent="0.45">
      <c r="D20" s="1">
        <v>24.8</v>
      </c>
      <c r="E20" s="1">
        <v>1375000000</v>
      </c>
      <c r="F20" s="1">
        <v>96306801.421291113</v>
      </c>
    </row>
    <row r="21" spans="1:8" x14ac:dyDescent="0.45">
      <c r="D21" s="1">
        <v>27.3</v>
      </c>
      <c r="E21" s="1">
        <v>1375000000</v>
      </c>
      <c r="F21" s="1">
        <v>96306801.421291113</v>
      </c>
    </row>
    <row r="22" spans="1:8" x14ac:dyDescent="0.45">
      <c r="A22">
        <v>0</v>
      </c>
      <c r="D22" s="1">
        <v>29.8</v>
      </c>
      <c r="E22" s="1">
        <v>1428000000</v>
      </c>
      <c r="F22" s="1">
        <v>116344316.5779919</v>
      </c>
    </row>
    <row r="24" spans="1:8" ht="16.899999999999999" thickBot="1" x14ac:dyDescent="0.65">
      <c r="D24" s="23" t="s">
        <v>108</v>
      </c>
      <c r="E24" s="23"/>
      <c r="F24" s="5" t="s">
        <v>113</v>
      </c>
      <c r="G24" s="23" t="s">
        <v>14</v>
      </c>
      <c r="H24" s="23"/>
    </row>
    <row r="25" spans="1:8" x14ac:dyDescent="0.45">
      <c r="D25" t="s">
        <v>2</v>
      </c>
      <c r="E25" t="s">
        <v>9</v>
      </c>
      <c r="F25" t="s">
        <v>6</v>
      </c>
    </row>
    <row r="26" spans="1:8" x14ac:dyDescent="0.45">
      <c r="D26" s="6">
        <v>0</v>
      </c>
      <c r="E26" s="6">
        <v>1440833.3333333335</v>
      </c>
      <c r="F26" s="6">
        <v>251589.39210988651</v>
      </c>
    </row>
    <row r="27" spans="1:8" x14ac:dyDescent="0.45">
      <c r="D27" s="6">
        <v>1</v>
      </c>
      <c r="E27" s="6">
        <v>2545000</v>
      </c>
      <c r="F27" s="6">
        <v>220227.15545545242</v>
      </c>
    </row>
    <row r="28" spans="1:8" x14ac:dyDescent="0.45">
      <c r="D28" s="6">
        <v>3</v>
      </c>
      <c r="E28" s="6">
        <v>3298000</v>
      </c>
      <c r="F28" s="6">
        <v>2695237.2808344723</v>
      </c>
    </row>
    <row r="29" spans="1:8" x14ac:dyDescent="0.45">
      <c r="D29" s="6">
        <v>5</v>
      </c>
      <c r="E29" s="6">
        <v>83600000</v>
      </c>
      <c r="F29" s="6">
        <v>17045820.602130014</v>
      </c>
    </row>
    <row r="30" spans="1:8" x14ac:dyDescent="0.45">
      <c r="D30" s="6">
        <v>7</v>
      </c>
      <c r="E30" s="6">
        <v>260750000</v>
      </c>
      <c r="F30" s="6">
        <v>32569157.188972514</v>
      </c>
    </row>
    <row r="31" spans="1:8" x14ac:dyDescent="0.45">
      <c r="D31" s="6">
        <v>10</v>
      </c>
      <c r="E31" s="6">
        <v>590000000</v>
      </c>
      <c r="F31" s="6">
        <v>53851648.071345039</v>
      </c>
    </row>
    <row r="32" spans="1:8" x14ac:dyDescent="0.45">
      <c r="D32" s="6">
        <v>12</v>
      </c>
      <c r="E32" s="6">
        <v>433500000</v>
      </c>
      <c r="F32" s="6">
        <v>37509998.667022102</v>
      </c>
    </row>
    <row r="33" spans="4:8" x14ac:dyDescent="0.45">
      <c r="D33" s="6">
        <v>14</v>
      </c>
      <c r="E33" s="6">
        <v>447400000</v>
      </c>
      <c r="F33" s="6">
        <v>30701140.043978821</v>
      </c>
    </row>
    <row r="34" spans="4:8" x14ac:dyDescent="0.45">
      <c r="D34" s="6">
        <v>16</v>
      </c>
      <c r="E34" s="6">
        <v>562500000</v>
      </c>
      <c r="F34" s="6">
        <v>17916472.867168918</v>
      </c>
    </row>
    <row r="35" spans="4:8" x14ac:dyDescent="0.45">
      <c r="D35" s="6">
        <v>18</v>
      </c>
      <c r="E35" s="6">
        <v>820000000</v>
      </c>
      <c r="F35" s="6">
        <v>219089023.00206643</v>
      </c>
    </row>
    <row r="36" spans="4:8" x14ac:dyDescent="0.45">
      <c r="D36" s="6">
        <v>20</v>
      </c>
      <c r="E36" s="6">
        <v>1070000000</v>
      </c>
      <c r="F36" s="6">
        <v>61644140.029689766</v>
      </c>
    </row>
    <row r="37" spans="4:8" x14ac:dyDescent="0.45">
      <c r="D37" s="6">
        <v>22</v>
      </c>
      <c r="E37" s="6">
        <v>1232500000</v>
      </c>
      <c r="F37" s="6">
        <v>203162496.53910044</v>
      </c>
    </row>
    <row r="38" spans="4:8" x14ac:dyDescent="0.45">
      <c r="D38" s="6">
        <v>24</v>
      </c>
      <c r="E38" s="6">
        <v>1720833333.3333335</v>
      </c>
      <c r="F38" s="6">
        <v>342097289.60568452</v>
      </c>
    </row>
    <row r="39" spans="4:8" x14ac:dyDescent="0.45">
      <c r="D39" s="6">
        <v>26</v>
      </c>
      <c r="E39" s="6">
        <v>1624000000</v>
      </c>
      <c r="F39" s="6">
        <v>227191549.13860682</v>
      </c>
    </row>
    <row r="40" spans="4:8" x14ac:dyDescent="0.45">
      <c r="D40" s="6">
        <v>30</v>
      </c>
      <c r="E40" s="6">
        <v>1503000000</v>
      </c>
      <c r="F40" s="6">
        <v>181229136.73027304</v>
      </c>
    </row>
    <row r="41" spans="4:8" x14ac:dyDescent="0.45">
      <c r="D41" s="6">
        <v>35</v>
      </c>
      <c r="E41" s="6">
        <v>1310000000</v>
      </c>
      <c r="F41" s="6">
        <v>246170672.5018234</v>
      </c>
    </row>
    <row r="43" spans="4:8" ht="16.899999999999999" thickBot="1" x14ac:dyDescent="0.65">
      <c r="D43" s="23" t="s">
        <v>109</v>
      </c>
      <c r="E43" s="23"/>
      <c r="F43" s="5" t="s">
        <v>113</v>
      </c>
      <c r="G43" s="23" t="s">
        <v>16</v>
      </c>
      <c r="H43" s="23"/>
    </row>
    <row r="44" spans="4:8" x14ac:dyDescent="0.45">
      <c r="D44" t="s">
        <v>2</v>
      </c>
      <c r="E44" t="s">
        <v>9</v>
      </c>
      <c r="F44" t="s">
        <v>6</v>
      </c>
    </row>
    <row r="45" spans="4:8" x14ac:dyDescent="0.45">
      <c r="D45" s="6">
        <v>24</v>
      </c>
      <c r="E45" s="6">
        <v>1342500000</v>
      </c>
      <c r="F45" s="1">
        <v>205121914.96766016</v>
      </c>
    </row>
    <row r="46" spans="4:8" x14ac:dyDescent="0.45">
      <c r="D46" s="6">
        <v>48</v>
      </c>
      <c r="E46" s="6">
        <v>1633333333.3333335</v>
      </c>
      <c r="F46" s="1">
        <v>117681302.20595323</v>
      </c>
    </row>
    <row r="47" spans="4:8" x14ac:dyDescent="0.45">
      <c r="D47" s="6">
        <v>72</v>
      </c>
      <c r="E47" s="6">
        <v>894000000</v>
      </c>
      <c r="F47" s="1">
        <v>188297636.73503712</v>
      </c>
    </row>
    <row r="48" spans="4:8" x14ac:dyDescent="0.45">
      <c r="D48" s="6">
        <v>96</v>
      </c>
      <c r="E48" s="6">
        <v>462500000</v>
      </c>
      <c r="F48" s="1">
        <v>109430343.14119644</v>
      </c>
    </row>
  </sheetData>
  <mergeCells count="6">
    <mergeCell ref="D43:E43"/>
    <mergeCell ref="G43:H43"/>
    <mergeCell ref="D1:F1"/>
    <mergeCell ref="H1:I1"/>
    <mergeCell ref="D24:E24"/>
    <mergeCell ref="G24:H24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E1A2C-F423-4219-8BA6-CDD4B3BECD2B}">
  <dimension ref="A1:J8"/>
  <sheetViews>
    <sheetView workbookViewId="0">
      <selection activeCell="B2" sqref="B2"/>
    </sheetView>
  </sheetViews>
  <sheetFormatPr defaultRowHeight="15" x14ac:dyDescent="0.45"/>
  <cols>
    <col min="2" max="2" width="32.42578125" bestFit="1" customWidth="1"/>
    <col min="4" max="4" width="11.140625" customWidth="1"/>
    <col min="5" max="5" width="17.28515625" customWidth="1"/>
    <col min="6" max="6" width="13" bestFit="1" customWidth="1"/>
    <col min="8" max="8" width="8.42578125" bestFit="1" customWidth="1"/>
  </cols>
  <sheetData>
    <row r="1" spans="1:10" ht="15.4" thickBot="1" x14ac:dyDescent="0.5">
      <c r="A1">
        <v>0</v>
      </c>
      <c r="D1" s="26" t="s">
        <v>110</v>
      </c>
      <c r="E1" s="26"/>
      <c r="F1" s="26"/>
      <c r="G1" s="25" t="s">
        <v>19</v>
      </c>
      <c r="H1" s="25"/>
    </row>
    <row r="2" spans="1:10" x14ac:dyDescent="0.45">
      <c r="B2" t="s">
        <v>20</v>
      </c>
      <c r="D2" s="24" t="s">
        <v>114</v>
      </c>
      <c r="E2" s="24"/>
      <c r="F2" s="24"/>
      <c r="H2" s="24" t="s">
        <v>115</v>
      </c>
      <c r="I2" s="24"/>
      <c r="J2" s="24"/>
    </row>
    <row r="3" spans="1:10" x14ac:dyDescent="0.45">
      <c r="D3" s="7" t="s">
        <v>17</v>
      </c>
      <c r="E3" s="7" t="s">
        <v>8</v>
      </c>
      <c r="F3" s="7" t="s">
        <v>18</v>
      </c>
      <c r="H3" s="7" t="s">
        <v>17</v>
      </c>
      <c r="I3" s="7" t="s">
        <v>8</v>
      </c>
      <c r="J3" s="7" t="s">
        <v>18</v>
      </c>
    </row>
    <row r="4" spans="1:10" x14ac:dyDescent="0.45">
      <c r="B4" t="s">
        <v>21</v>
      </c>
      <c r="D4" s="8">
        <v>24.000000000000004</v>
      </c>
      <c r="E4" s="8">
        <v>201000000</v>
      </c>
      <c r="F4" s="8">
        <v>49746021.616473682</v>
      </c>
      <c r="H4" s="8">
        <v>0</v>
      </c>
      <c r="I4" s="8">
        <v>55333333.333333336</v>
      </c>
      <c r="J4" s="8">
        <v>1517307.5568988055</v>
      </c>
    </row>
    <row r="5" spans="1:10" x14ac:dyDescent="0.45">
      <c r="D5" s="8">
        <v>36</v>
      </c>
      <c r="E5" s="8">
        <v>204416666.66666669</v>
      </c>
      <c r="F5" s="8">
        <v>52905313.742782235</v>
      </c>
      <c r="H5" s="8">
        <v>12</v>
      </c>
      <c r="I5" s="8">
        <v>2113333.3333333335</v>
      </c>
      <c r="J5" s="8">
        <v>126841.98393626967</v>
      </c>
    </row>
    <row r="6" spans="1:10" x14ac:dyDescent="0.45">
      <c r="D6" s="8">
        <v>48</v>
      </c>
      <c r="E6" s="8">
        <v>210666666.66666669</v>
      </c>
      <c r="F6" s="8">
        <v>26787227.470485918</v>
      </c>
      <c r="H6" s="8">
        <v>19</v>
      </c>
      <c r="I6" s="8">
        <v>10000</v>
      </c>
      <c r="J6" s="8">
        <v>1632.9931618554519</v>
      </c>
    </row>
    <row r="7" spans="1:10" x14ac:dyDescent="0.45">
      <c r="D7" s="8">
        <v>60.25</v>
      </c>
      <c r="E7" s="8">
        <v>185333333.33333331</v>
      </c>
      <c r="F7" s="8">
        <v>34364063.916959658</v>
      </c>
      <c r="H7" s="8">
        <v>24.000000000000004</v>
      </c>
      <c r="I7" s="8">
        <v>0</v>
      </c>
      <c r="J7" s="8">
        <v>0</v>
      </c>
    </row>
    <row r="8" spans="1:10" x14ac:dyDescent="0.45">
      <c r="D8" s="8">
        <v>108</v>
      </c>
      <c r="E8" s="8">
        <v>75000000</v>
      </c>
      <c r="F8" s="8">
        <v>6082762.53029822</v>
      </c>
    </row>
  </sheetData>
  <mergeCells count="4">
    <mergeCell ref="D2:F2"/>
    <mergeCell ref="H2:J2"/>
    <mergeCell ref="G1:H1"/>
    <mergeCell ref="D1:F1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0878F-9855-4C9C-821A-9294BF6F9176}">
  <dimension ref="A1:J22"/>
  <sheetViews>
    <sheetView workbookViewId="0">
      <selection activeCell="B2" sqref="B2"/>
    </sheetView>
  </sheetViews>
  <sheetFormatPr defaultRowHeight="15" x14ac:dyDescent="0.45"/>
  <cols>
    <col min="2" max="2" width="32.42578125" bestFit="1" customWidth="1"/>
    <col min="4" max="4" width="13" bestFit="1" customWidth="1"/>
    <col min="5" max="5" width="9" bestFit="1" customWidth="1"/>
    <col min="6" max="6" width="13" bestFit="1" customWidth="1"/>
    <col min="8" max="8" width="13" bestFit="1" customWidth="1"/>
  </cols>
  <sheetData>
    <row r="1" spans="1:10" ht="15.4" thickBot="1" x14ac:dyDescent="0.5">
      <c r="A1">
        <v>0</v>
      </c>
      <c r="D1" s="26" t="s">
        <v>110</v>
      </c>
      <c r="E1" s="26"/>
      <c r="F1" s="26"/>
      <c r="G1" s="25" t="s">
        <v>19</v>
      </c>
      <c r="H1" s="25"/>
    </row>
    <row r="2" spans="1:10" x14ac:dyDescent="0.45">
      <c r="B2" t="s">
        <v>22</v>
      </c>
      <c r="D2" s="24" t="s">
        <v>116</v>
      </c>
      <c r="E2" s="24"/>
      <c r="F2" s="24"/>
      <c r="H2" s="24" t="s">
        <v>117</v>
      </c>
      <c r="I2" s="24"/>
      <c r="J2" s="24"/>
    </row>
    <row r="3" spans="1:10" x14ac:dyDescent="0.45">
      <c r="D3" s="7" t="s">
        <v>17</v>
      </c>
      <c r="E3" s="7" t="s">
        <v>3</v>
      </c>
      <c r="F3" s="7" t="s">
        <v>23</v>
      </c>
      <c r="H3" s="7" t="s">
        <v>17</v>
      </c>
      <c r="I3" s="7" t="s">
        <v>3</v>
      </c>
      <c r="J3" s="7" t="s">
        <v>23</v>
      </c>
    </row>
    <row r="4" spans="1:10" x14ac:dyDescent="0.45">
      <c r="B4" t="s">
        <v>21</v>
      </c>
      <c r="D4" s="8">
        <v>0</v>
      </c>
      <c r="E4" s="8">
        <v>0.27400000000000002</v>
      </c>
      <c r="F4" s="8">
        <v>1.0198039027185562E-2</v>
      </c>
      <c r="H4" s="8">
        <v>0</v>
      </c>
      <c r="I4" s="8">
        <v>0.28000000000000003</v>
      </c>
      <c r="J4" s="8">
        <v>1.0954451150103312E-2</v>
      </c>
    </row>
    <row r="5" spans="1:10" x14ac:dyDescent="0.45">
      <c r="D5" s="8">
        <v>3</v>
      </c>
      <c r="E5" s="8">
        <v>0.34599999999999997</v>
      </c>
      <c r="F5" s="8">
        <v>7.9999999999999828E-3</v>
      </c>
      <c r="H5" s="8">
        <v>3</v>
      </c>
      <c r="I5" s="8">
        <v>0.39400000000000002</v>
      </c>
      <c r="J5" s="8">
        <v>1.0198039027185562E-2</v>
      </c>
    </row>
    <row r="6" spans="1:10" x14ac:dyDescent="0.45">
      <c r="D6" s="8">
        <v>6</v>
      </c>
      <c r="E6" s="8">
        <v>0.66399999999999992</v>
      </c>
      <c r="F6" s="8">
        <v>1.3564659966250548E-2</v>
      </c>
      <c r="H6" s="8">
        <v>6</v>
      </c>
      <c r="I6" s="8">
        <v>0.43</v>
      </c>
      <c r="J6" s="8">
        <v>1.0954451150103331E-2</v>
      </c>
    </row>
    <row r="7" spans="1:10" x14ac:dyDescent="0.45">
      <c r="D7" s="8">
        <v>12</v>
      </c>
      <c r="E7" s="8">
        <v>0.76</v>
      </c>
      <c r="F7" s="8">
        <v>2.2803508501982778E-2</v>
      </c>
      <c r="H7" s="8">
        <v>9</v>
      </c>
      <c r="I7" s="8">
        <v>0.43600000000000005</v>
      </c>
      <c r="J7" s="8">
        <v>4.8989794855663609E-3</v>
      </c>
    </row>
    <row r="8" spans="1:10" x14ac:dyDescent="0.45">
      <c r="D8" s="8">
        <v>15.333333333333334</v>
      </c>
      <c r="E8" s="8">
        <v>0.77200000000000002</v>
      </c>
      <c r="F8" s="8">
        <v>7.4833147735478894E-3</v>
      </c>
      <c r="H8" s="8">
        <v>12</v>
      </c>
      <c r="I8" s="8">
        <v>0.442</v>
      </c>
      <c r="J8" s="8">
        <v>7.4833147735478894E-3</v>
      </c>
    </row>
    <row r="9" spans="1:10" x14ac:dyDescent="0.45">
      <c r="D9" s="8">
        <v>17.500000000000004</v>
      </c>
      <c r="E9" s="8">
        <v>0.77400000000000002</v>
      </c>
      <c r="F9" s="8">
        <v>4.8989794855663609E-3</v>
      </c>
      <c r="H9" s="8">
        <v>15.333333333333334</v>
      </c>
      <c r="I9" s="8">
        <v>0.44000000000000006</v>
      </c>
      <c r="J9" s="8">
        <v>6.324555320336764E-3</v>
      </c>
    </row>
    <row r="10" spans="1:10" x14ac:dyDescent="0.45">
      <c r="D10" s="8">
        <v>21.000000000000004</v>
      </c>
      <c r="E10" s="8">
        <v>0.84399999999999997</v>
      </c>
      <c r="F10" s="8">
        <v>8.0000000000000071E-3</v>
      </c>
      <c r="H10" s="8">
        <v>17.500000000000004</v>
      </c>
      <c r="I10" s="8">
        <v>0.45999999999999996</v>
      </c>
      <c r="J10" s="8">
        <v>8.9442719099991422E-3</v>
      </c>
    </row>
    <row r="11" spans="1:10" x14ac:dyDescent="0.45">
      <c r="D11" s="8">
        <v>24.000000000000004</v>
      </c>
      <c r="E11" s="8">
        <v>0.81199999999999994</v>
      </c>
      <c r="F11" s="8">
        <v>7.4833147735478417E-3</v>
      </c>
      <c r="H11" s="8">
        <v>19</v>
      </c>
      <c r="I11" s="8">
        <v>0.45</v>
      </c>
      <c r="J11" s="8">
        <v>8.9442719099991665E-3</v>
      </c>
    </row>
    <row r="12" spans="1:10" x14ac:dyDescent="0.45">
      <c r="D12" s="8">
        <v>27.000000000000004</v>
      </c>
      <c r="E12" s="8">
        <v>0.79200000000000004</v>
      </c>
      <c r="F12" s="8">
        <v>7.4833147735478894E-3</v>
      </c>
      <c r="H12" s="8">
        <v>21.000000000000004</v>
      </c>
      <c r="I12" s="8">
        <v>0.44000000000000006</v>
      </c>
      <c r="J12" s="8">
        <v>8.9442719099991665E-3</v>
      </c>
    </row>
    <row r="13" spans="1:10" x14ac:dyDescent="0.45">
      <c r="D13" s="8">
        <v>30.000000000000004</v>
      </c>
      <c r="E13" s="8">
        <v>0.81600000000000006</v>
      </c>
      <c r="F13" s="8">
        <v>1.3564659966250503E-2</v>
      </c>
      <c r="H13" s="8">
        <v>24.000000000000004</v>
      </c>
      <c r="I13" s="8">
        <v>0.47199999999999998</v>
      </c>
      <c r="J13" s="8">
        <v>1.1661903789690588E-2</v>
      </c>
    </row>
    <row r="14" spans="1:10" x14ac:dyDescent="0.45">
      <c r="D14" s="8">
        <v>33</v>
      </c>
      <c r="E14" s="8">
        <v>0.82200000000000006</v>
      </c>
      <c r="F14" s="8">
        <v>1.3266499161421575E-2</v>
      </c>
      <c r="H14" s="8">
        <v>27.000000000000004</v>
      </c>
      <c r="I14" s="8">
        <v>0.44800000000000006</v>
      </c>
      <c r="J14" s="8">
        <v>7.4833147735478894E-3</v>
      </c>
    </row>
    <row r="15" spans="1:10" x14ac:dyDescent="0.45">
      <c r="D15" s="8">
        <v>36</v>
      </c>
      <c r="E15" s="8">
        <v>0.81200000000000006</v>
      </c>
      <c r="F15" s="8">
        <v>1.1661903789690561E-2</v>
      </c>
      <c r="H15" s="8">
        <v>30.000000000000004</v>
      </c>
      <c r="I15" s="8">
        <v>0.44600000000000001</v>
      </c>
      <c r="J15" s="8">
        <v>1.0198039027185579E-2</v>
      </c>
    </row>
    <row r="16" spans="1:10" x14ac:dyDescent="0.45">
      <c r="D16" s="8">
        <v>48</v>
      </c>
      <c r="E16" s="8">
        <v>0.79200000000000004</v>
      </c>
      <c r="F16" s="8">
        <v>7.4833147735478894E-3</v>
      </c>
      <c r="H16" s="8">
        <v>33</v>
      </c>
      <c r="I16" s="8">
        <v>0.45200000000000007</v>
      </c>
      <c r="J16" s="8">
        <v>1.1661903789690611E-2</v>
      </c>
    </row>
    <row r="17" spans="4:10" x14ac:dyDescent="0.45">
      <c r="D17" s="8">
        <v>60.25</v>
      </c>
      <c r="E17" s="8">
        <v>0.79200000000000004</v>
      </c>
      <c r="F17" s="8">
        <v>7.4833147735478894E-3</v>
      </c>
      <c r="H17" s="8">
        <v>36</v>
      </c>
      <c r="I17" s="8">
        <v>0.43</v>
      </c>
      <c r="J17" s="8">
        <v>1.7888543819998316E-2</v>
      </c>
    </row>
    <row r="18" spans="4:10" x14ac:dyDescent="0.45">
      <c r="D18" s="8">
        <v>108</v>
      </c>
      <c r="E18" s="8">
        <v>0.86999999999999988</v>
      </c>
      <c r="F18" s="8">
        <v>8.9442719099991665E-3</v>
      </c>
      <c r="H18" s="8">
        <v>48</v>
      </c>
      <c r="I18" s="8">
        <v>0.44400000000000006</v>
      </c>
      <c r="J18" s="8">
        <v>8.0000000000000071E-3</v>
      </c>
    </row>
    <row r="19" spans="4:10" x14ac:dyDescent="0.45">
      <c r="D19" s="8">
        <v>165</v>
      </c>
      <c r="E19" s="8">
        <v>0.8640000000000001</v>
      </c>
      <c r="F19" s="8">
        <v>1.0198039027185579E-2</v>
      </c>
      <c r="H19" s="8">
        <v>60.25</v>
      </c>
      <c r="I19" s="8">
        <v>0.42800000000000005</v>
      </c>
      <c r="J19" s="8">
        <v>7.4833147735478894E-3</v>
      </c>
    </row>
    <row r="20" spans="4:10" x14ac:dyDescent="0.45">
      <c r="H20" s="8">
        <v>96</v>
      </c>
      <c r="I20" s="8"/>
      <c r="J20" s="8" t="e">
        <v>#DIV/0!</v>
      </c>
    </row>
    <row r="21" spans="4:10" x14ac:dyDescent="0.45">
      <c r="H21" s="8">
        <v>108</v>
      </c>
      <c r="I21" s="8">
        <v>0.45400000000000001</v>
      </c>
      <c r="J21" s="8">
        <v>1.743559577416269E-2</v>
      </c>
    </row>
    <row r="22" spans="4:10" x14ac:dyDescent="0.45">
      <c r="H22" s="1">
        <v>165</v>
      </c>
      <c r="I22" s="1">
        <v>0.45400000000000001</v>
      </c>
      <c r="J22" s="1">
        <v>1.743559577416269E-2</v>
      </c>
    </row>
  </sheetData>
  <mergeCells count="4">
    <mergeCell ref="D2:F2"/>
    <mergeCell ref="H2:J2"/>
    <mergeCell ref="D1:F1"/>
    <mergeCell ref="G1:H1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B13C1-130A-4F5A-B012-290E75414726}">
  <dimension ref="A1:T263"/>
  <sheetViews>
    <sheetView workbookViewId="0">
      <selection activeCell="B2" sqref="B2"/>
    </sheetView>
  </sheetViews>
  <sheetFormatPr defaultRowHeight="15" x14ac:dyDescent="0.45"/>
  <cols>
    <col min="2" max="2" width="18.140625" bestFit="1" customWidth="1"/>
    <col min="4" max="4" width="16.140625" bestFit="1" customWidth="1"/>
    <col min="5" max="5" width="8.140625" bestFit="1" customWidth="1"/>
    <col min="7" max="7" width="16.140625" bestFit="1" customWidth="1"/>
    <col min="8" max="8" width="8.140625" bestFit="1" customWidth="1"/>
    <col min="10" max="10" width="21.42578125" bestFit="1" customWidth="1"/>
    <col min="11" max="11" width="13.28515625" bestFit="1" customWidth="1"/>
    <col min="12" max="12" width="15.5703125" bestFit="1" customWidth="1"/>
    <col min="13" max="13" width="6.7109375" bestFit="1" customWidth="1"/>
    <col min="14" max="14" width="11.28515625" bestFit="1" customWidth="1"/>
    <col min="15" max="15" width="23.5703125" bestFit="1" customWidth="1"/>
    <col min="16" max="16" width="5.7109375" bestFit="1" customWidth="1"/>
    <col min="17" max="17" width="8.7109375" bestFit="1" customWidth="1"/>
    <col min="18" max="18" width="19.5703125" bestFit="1" customWidth="1"/>
    <col min="19" max="19" width="23.5703125" bestFit="1" customWidth="1"/>
    <col min="20" max="20" width="19.42578125" bestFit="1" customWidth="1"/>
  </cols>
  <sheetData>
    <row r="1" spans="1:20" x14ac:dyDescent="0.45">
      <c r="A1">
        <v>0</v>
      </c>
      <c r="D1" t="s">
        <v>26</v>
      </c>
      <c r="G1" t="s">
        <v>27</v>
      </c>
    </row>
    <row r="2" spans="1:20" x14ac:dyDescent="0.45">
      <c r="B2" t="s">
        <v>24</v>
      </c>
      <c r="D2" t="s">
        <v>28</v>
      </c>
      <c r="E2" t="s">
        <v>29</v>
      </c>
      <c r="G2" t="s">
        <v>28</v>
      </c>
      <c r="H2" t="s">
        <v>29</v>
      </c>
      <c r="J2" s="10" t="s">
        <v>35</v>
      </c>
      <c r="K2" s="10" t="s">
        <v>36</v>
      </c>
      <c r="L2" s="10" t="s">
        <v>37</v>
      </c>
      <c r="M2" s="10" t="s">
        <v>38</v>
      </c>
      <c r="N2" s="10" t="s">
        <v>39</v>
      </c>
      <c r="O2" s="10" t="s">
        <v>40</v>
      </c>
      <c r="P2" s="10" t="s">
        <v>41</v>
      </c>
      <c r="Q2" s="10" t="s">
        <v>42</v>
      </c>
      <c r="R2" s="10" t="s">
        <v>43</v>
      </c>
      <c r="S2" s="10" t="s">
        <v>44</v>
      </c>
      <c r="T2" s="10" t="s">
        <v>45</v>
      </c>
    </row>
    <row r="3" spans="1:20" x14ac:dyDescent="0.45">
      <c r="B3" t="s">
        <v>25</v>
      </c>
      <c r="D3">
        <v>220</v>
      </c>
      <c r="E3">
        <v>1.1459999999999999</v>
      </c>
      <c r="G3">
        <v>220</v>
      </c>
      <c r="H3">
        <v>1.07</v>
      </c>
      <c r="J3" s="10" t="s">
        <v>30</v>
      </c>
      <c r="K3" s="11" t="s">
        <v>26</v>
      </c>
      <c r="L3" s="10">
        <v>2.29</v>
      </c>
      <c r="M3" s="10">
        <v>0.152</v>
      </c>
      <c r="N3" s="10">
        <v>1.5760000000000001</v>
      </c>
      <c r="O3" s="10" t="s">
        <v>31</v>
      </c>
      <c r="P3" s="10">
        <v>14.5</v>
      </c>
      <c r="Q3" s="10">
        <v>0.96</v>
      </c>
      <c r="R3" s="10" t="s">
        <v>32</v>
      </c>
      <c r="S3" s="10">
        <v>340</v>
      </c>
      <c r="T3" s="10">
        <v>6.9000000000000006E-2</v>
      </c>
    </row>
    <row r="4" spans="1:20" x14ac:dyDescent="0.45">
      <c r="D4">
        <v>220.5</v>
      </c>
      <c r="E4">
        <v>1.111</v>
      </c>
      <c r="G4">
        <v>220.5</v>
      </c>
      <c r="H4">
        <v>1.038</v>
      </c>
      <c r="J4" s="10" t="s">
        <v>33</v>
      </c>
      <c r="K4" s="12" t="s">
        <v>27</v>
      </c>
      <c r="L4" s="10">
        <v>1.671</v>
      </c>
      <c r="M4" s="10">
        <v>0.111</v>
      </c>
      <c r="N4" s="10">
        <v>1.66</v>
      </c>
      <c r="O4" s="10" t="s">
        <v>31</v>
      </c>
      <c r="P4" s="10">
        <v>14.5</v>
      </c>
      <c r="Q4" s="10">
        <v>0.96</v>
      </c>
      <c r="R4" s="10" t="s">
        <v>32</v>
      </c>
      <c r="S4" s="10">
        <v>340</v>
      </c>
      <c r="T4" s="10">
        <v>5.1999999999999998E-2</v>
      </c>
    </row>
    <row r="5" spans="1:20" x14ac:dyDescent="0.45">
      <c r="B5" t="s">
        <v>21</v>
      </c>
      <c r="D5">
        <v>221</v>
      </c>
      <c r="E5">
        <v>1.08</v>
      </c>
      <c r="G5">
        <v>221</v>
      </c>
      <c r="H5">
        <v>1.0069999999999999</v>
      </c>
    </row>
    <row r="6" spans="1:20" x14ac:dyDescent="0.45">
      <c r="D6">
        <v>221.5</v>
      </c>
      <c r="E6">
        <v>1.0529999999999999</v>
      </c>
      <c r="G6">
        <v>221.5</v>
      </c>
      <c r="H6">
        <v>0.97699999999999998</v>
      </c>
    </row>
    <row r="7" spans="1:20" x14ac:dyDescent="0.45">
      <c r="D7">
        <v>222</v>
      </c>
      <c r="E7">
        <v>1.024</v>
      </c>
      <c r="G7">
        <v>222</v>
      </c>
      <c r="H7">
        <v>0.94799999999999995</v>
      </c>
    </row>
    <row r="8" spans="1:20" x14ac:dyDescent="0.45">
      <c r="D8">
        <v>222.5</v>
      </c>
      <c r="E8">
        <v>0.997</v>
      </c>
      <c r="G8">
        <v>222.5</v>
      </c>
      <c r="H8">
        <v>0.92300000000000004</v>
      </c>
    </row>
    <row r="9" spans="1:20" x14ac:dyDescent="0.45">
      <c r="D9">
        <v>223</v>
      </c>
      <c r="E9">
        <v>0.96899999999999997</v>
      </c>
      <c r="G9">
        <v>223</v>
      </c>
      <c r="H9">
        <v>0.89800000000000002</v>
      </c>
    </row>
    <row r="10" spans="1:20" x14ac:dyDescent="0.45">
      <c r="D10">
        <v>223.5</v>
      </c>
      <c r="E10">
        <v>0.94299999999999995</v>
      </c>
      <c r="G10">
        <v>223.5</v>
      </c>
      <c r="H10">
        <v>0.87</v>
      </c>
    </row>
    <row r="11" spans="1:20" x14ac:dyDescent="0.45">
      <c r="D11">
        <v>224</v>
      </c>
      <c r="E11">
        <v>0.91400000000000003</v>
      </c>
      <c r="G11">
        <v>224</v>
      </c>
      <c r="H11">
        <v>0.84199999999999997</v>
      </c>
    </row>
    <row r="12" spans="1:20" x14ac:dyDescent="0.45">
      <c r="D12">
        <v>224.5</v>
      </c>
      <c r="E12">
        <v>0.88600000000000001</v>
      </c>
      <c r="G12">
        <v>224.5</v>
      </c>
      <c r="H12">
        <v>0.81499999999999995</v>
      </c>
    </row>
    <row r="13" spans="1:20" x14ac:dyDescent="0.45">
      <c r="D13">
        <v>225</v>
      </c>
      <c r="E13">
        <v>0.86099999999999999</v>
      </c>
      <c r="G13">
        <v>225</v>
      </c>
      <c r="H13">
        <v>0.79</v>
      </c>
    </row>
    <row r="14" spans="1:20" x14ac:dyDescent="0.45">
      <c r="D14">
        <v>225.5</v>
      </c>
      <c r="E14">
        <v>0.83899999999999997</v>
      </c>
      <c r="G14">
        <v>225.5</v>
      </c>
      <c r="H14">
        <v>0.76700000000000002</v>
      </c>
    </row>
    <row r="15" spans="1:20" x14ac:dyDescent="0.45">
      <c r="D15">
        <v>226</v>
      </c>
      <c r="E15">
        <v>0.82299999999999995</v>
      </c>
      <c r="G15">
        <v>226</v>
      </c>
      <c r="H15">
        <v>0.751</v>
      </c>
    </row>
    <row r="16" spans="1:20" x14ac:dyDescent="0.45">
      <c r="D16">
        <v>226.5</v>
      </c>
      <c r="E16">
        <v>0.80900000000000005</v>
      </c>
      <c r="G16">
        <v>226.5</v>
      </c>
      <c r="H16">
        <v>0.73699999999999999</v>
      </c>
    </row>
    <row r="17" spans="4:8" x14ac:dyDescent="0.45">
      <c r="D17">
        <v>227</v>
      </c>
      <c r="E17">
        <v>0.79900000000000004</v>
      </c>
      <c r="G17">
        <v>227</v>
      </c>
      <c r="H17">
        <v>0.72599999999999998</v>
      </c>
    </row>
    <row r="18" spans="4:8" x14ac:dyDescent="0.45">
      <c r="D18">
        <v>227.5</v>
      </c>
      <c r="E18">
        <v>0.79100000000000004</v>
      </c>
      <c r="G18">
        <v>227.5</v>
      </c>
      <c r="H18">
        <v>0.71599999999999997</v>
      </c>
    </row>
    <row r="19" spans="4:8" x14ac:dyDescent="0.45">
      <c r="D19">
        <v>228</v>
      </c>
      <c r="E19">
        <v>0.78300000000000003</v>
      </c>
      <c r="G19">
        <v>228</v>
      </c>
      <c r="H19">
        <v>0.70799999999999996</v>
      </c>
    </row>
    <row r="20" spans="4:8" x14ac:dyDescent="0.45">
      <c r="D20">
        <v>228.5</v>
      </c>
      <c r="E20">
        <v>0.77700000000000002</v>
      </c>
      <c r="G20">
        <v>228.5</v>
      </c>
      <c r="H20">
        <v>0.70299999999999996</v>
      </c>
    </row>
    <row r="21" spans="4:8" x14ac:dyDescent="0.45">
      <c r="D21">
        <v>229</v>
      </c>
      <c r="E21">
        <v>0.77200000000000002</v>
      </c>
      <c r="G21">
        <v>229</v>
      </c>
      <c r="H21">
        <v>0.69799999999999995</v>
      </c>
    </row>
    <row r="22" spans="4:8" x14ac:dyDescent="0.45">
      <c r="D22">
        <v>229.5</v>
      </c>
      <c r="E22">
        <v>0.76600000000000001</v>
      </c>
      <c r="G22">
        <v>229.5</v>
      </c>
      <c r="H22">
        <v>0.69299999999999995</v>
      </c>
    </row>
    <row r="23" spans="4:8" x14ac:dyDescent="0.45">
      <c r="D23">
        <v>230</v>
      </c>
      <c r="E23">
        <v>0.76</v>
      </c>
      <c r="G23">
        <v>230</v>
      </c>
      <c r="H23">
        <v>0.68700000000000006</v>
      </c>
    </row>
    <row r="24" spans="4:8" x14ac:dyDescent="0.45">
      <c r="D24">
        <v>230.5</v>
      </c>
      <c r="E24">
        <v>0.754</v>
      </c>
      <c r="G24">
        <v>230.5</v>
      </c>
      <c r="H24">
        <v>0.68</v>
      </c>
    </row>
    <row r="25" spans="4:8" x14ac:dyDescent="0.45">
      <c r="D25">
        <v>231</v>
      </c>
      <c r="E25">
        <v>0.748</v>
      </c>
      <c r="G25">
        <v>231</v>
      </c>
      <c r="H25">
        <v>0.67400000000000004</v>
      </c>
    </row>
    <row r="26" spans="4:8" x14ac:dyDescent="0.45">
      <c r="D26">
        <v>231.5</v>
      </c>
      <c r="E26">
        <v>0.74099999999999999</v>
      </c>
      <c r="G26">
        <v>231.5</v>
      </c>
      <c r="H26">
        <v>0.66700000000000004</v>
      </c>
    </row>
    <row r="27" spans="4:8" x14ac:dyDescent="0.45">
      <c r="D27">
        <v>232</v>
      </c>
      <c r="E27">
        <v>0.73499999999999999</v>
      </c>
      <c r="G27">
        <v>232</v>
      </c>
      <c r="H27">
        <v>0.66100000000000003</v>
      </c>
    </row>
    <row r="28" spans="4:8" x14ac:dyDescent="0.45">
      <c r="D28">
        <v>232.5</v>
      </c>
      <c r="E28">
        <v>0.72799999999999998</v>
      </c>
      <c r="G28">
        <v>232.5</v>
      </c>
      <c r="H28">
        <v>0.65400000000000003</v>
      </c>
    </row>
    <row r="29" spans="4:8" x14ac:dyDescent="0.45">
      <c r="D29">
        <v>233</v>
      </c>
      <c r="E29">
        <v>0.72199999999999998</v>
      </c>
      <c r="G29">
        <v>233</v>
      </c>
      <c r="H29">
        <v>0.64800000000000002</v>
      </c>
    </row>
    <row r="30" spans="4:8" x14ac:dyDescent="0.45">
      <c r="D30">
        <v>233.5</v>
      </c>
      <c r="E30">
        <v>0.71499999999999997</v>
      </c>
      <c r="G30">
        <v>233.5</v>
      </c>
      <c r="H30">
        <v>0.64200000000000002</v>
      </c>
    </row>
    <row r="31" spans="4:8" x14ac:dyDescent="0.45">
      <c r="D31">
        <v>234</v>
      </c>
      <c r="E31">
        <v>0.70799999999999996</v>
      </c>
      <c r="G31">
        <v>234</v>
      </c>
      <c r="H31">
        <v>0.63400000000000001</v>
      </c>
    </row>
    <row r="32" spans="4:8" x14ac:dyDescent="0.45">
      <c r="D32">
        <v>234.5</v>
      </c>
      <c r="E32">
        <v>0.7</v>
      </c>
      <c r="G32">
        <v>234.5</v>
      </c>
      <c r="H32">
        <v>0.626</v>
      </c>
    </row>
    <row r="33" spans="4:8" x14ac:dyDescent="0.45">
      <c r="D33">
        <v>235</v>
      </c>
      <c r="E33">
        <v>0.69199999999999995</v>
      </c>
      <c r="G33">
        <v>235</v>
      </c>
      <c r="H33">
        <v>0.62</v>
      </c>
    </row>
    <row r="34" spans="4:8" x14ac:dyDescent="0.45">
      <c r="D34">
        <v>235.5</v>
      </c>
      <c r="E34">
        <v>0.68500000000000005</v>
      </c>
      <c r="G34">
        <v>235.5</v>
      </c>
      <c r="H34">
        <v>0.61299999999999999</v>
      </c>
    </row>
    <row r="35" spans="4:8" x14ac:dyDescent="0.45">
      <c r="D35">
        <v>236</v>
      </c>
      <c r="E35">
        <v>0.67600000000000005</v>
      </c>
      <c r="G35">
        <v>236</v>
      </c>
      <c r="H35">
        <v>0.60399999999999998</v>
      </c>
    </row>
    <row r="36" spans="4:8" x14ac:dyDescent="0.45">
      <c r="D36">
        <v>236.5</v>
      </c>
      <c r="E36">
        <v>0.66700000000000004</v>
      </c>
      <c r="G36">
        <v>236.5</v>
      </c>
      <c r="H36">
        <v>0.59599999999999997</v>
      </c>
    </row>
    <row r="37" spans="4:8" x14ac:dyDescent="0.45">
      <c r="D37">
        <v>237</v>
      </c>
      <c r="E37">
        <v>0.65800000000000003</v>
      </c>
      <c r="G37">
        <v>237</v>
      </c>
      <c r="H37">
        <v>0.58699999999999997</v>
      </c>
    </row>
    <row r="38" spans="4:8" x14ac:dyDescent="0.45">
      <c r="D38">
        <v>237.5</v>
      </c>
      <c r="E38">
        <v>0.65</v>
      </c>
      <c r="G38">
        <v>237.5</v>
      </c>
      <c r="H38">
        <v>0.57799999999999996</v>
      </c>
    </row>
    <row r="39" spans="4:8" x14ac:dyDescent="0.45">
      <c r="D39">
        <v>238</v>
      </c>
      <c r="E39">
        <v>0.63900000000000001</v>
      </c>
      <c r="G39">
        <v>238</v>
      </c>
      <c r="H39">
        <v>0.56699999999999995</v>
      </c>
    </row>
    <row r="40" spans="4:8" x14ac:dyDescent="0.45">
      <c r="D40">
        <v>238.5</v>
      </c>
      <c r="E40">
        <v>0.625</v>
      </c>
      <c r="G40">
        <v>238.5</v>
      </c>
      <c r="H40">
        <v>0.55500000000000005</v>
      </c>
    </row>
    <row r="41" spans="4:8" x14ac:dyDescent="0.45">
      <c r="D41">
        <v>239</v>
      </c>
      <c r="E41">
        <v>0.61199999999999999</v>
      </c>
      <c r="G41">
        <v>239</v>
      </c>
      <c r="H41">
        <v>0.54300000000000004</v>
      </c>
    </row>
    <row r="42" spans="4:8" x14ac:dyDescent="0.45">
      <c r="D42">
        <v>239.5</v>
      </c>
      <c r="E42">
        <v>0.60099999999999998</v>
      </c>
      <c r="G42">
        <v>239.5</v>
      </c>
      <c r="H42">
        <v>0.53200000000000003</v>
      </c>
    </row>
    <row r="43" spans="4:8" x14ac:dyDescent="0.45">
      <c r="D43">
        <v>240</v>
      </c>
      <c r="E43">
        <v>0.59099999999999997</v>
      </c>
      <c r="G43">
        <v>240</v>
      </c>
      <c r="H43">
        <v>0.52200000000000002</v>
      </c>
    </row>
    <row r="44" spans="4:8" x14ac:dyDescent="0.45">
      <c r="D44">
        <v>240.5</v>
      </c>
      <c r="E44">
        <v>0.58099999999999996</v>
      </c>
      <c r="G44">
        <v>240.5</v>
      </c>
      <c r="H44">
        <v>0.51200000000000001</v>
      </c>
    </row>
    <row r="45" spans="4:8" x14ac:dyDescent="0.45">
      <c r="D45">
        <v>241</v>
      </c>
      <c r="E45">
        <v>0.57199999999999995</v>
      </c>
      <c r="G45">
        <v>241</v>
      </c>
      <c r="H45">
        <v>0.502</v>
      </c>
    </row>
    <row r="46" spans="4:8" x14ac:dyDescent="0.45">
      <c r="D46">
        <v>241.5</v>
      </c>
      <c r="E46">
        <v>0.56299999999999994</v>
      </c>
      <c r="G46">
        <v>241.5</v>
      </c>
      <c r="H46">
        <v>0.49399999999999999</v>
      </c>
    </row>
    <row r="47" spans="4:8" x14ac:dyDescent="0.45">
      <c r="D47">
        <v>242</v>
      </c>
      <c r="E47">
        <v>0.55400000000000005</v>
      </c>
      <c r="G47">
        <v>242</v>
      </c>
      <c r="H47">
        <v>0.48599999999999999</v>
      </c>
    </row>
    <row r="48" spans="4:8" x14ac:dyDescent="0.45">
      <c r="D48">
        <v>242.5</v>
      </c>
      <c r="E48">
        <v>0.54400000000000004</v>
      </c>
      <c r="G48">
        <v>242.5</v>
      </c>
      <c r="H48">
        <v>0.47799999999999998</v>
      </c>
    </row>
    <row r="49" spans="4:8" x14ac:dyDescent="0.45">
      <c r="D49">
        <v>243</v>
      </c>
      <c r="E49">
        <v>0.53200000000000003</v>
      </c>
      <c r="G49">
        <v>243</v>
      </c>
      <c r="H49">
        <v>0.46600000000000003</v>
      </c>
    </row>
    <row r="50" spans="4:8" x14ac:dyDescent="0.45">
      <c r="D50">
        <v>243.5</v>
      </c>
      <c r="E50">
        <v>0.51800000000000002</v>
      </c>
      <c r="G50">
        <v>243.5</v>
      </c>
      <c r="H50">
        <v>0.45300000000000001</v>
      </c>
    </row>
    <row r="51" spans="4:8" x14ac:dyDescent="0.45">
      <c r="D51">
        <v>244</v>
      </c>
      <c r="E51">
        <v>0.503</v>
      </c>
      <c r="G51">
        <v>244</v>
      </c>
      <c r="H51">
        <v>0.438</v>
      </c>
    </row>
    <row r="52" spans="4:8" x14ac:dyDescent="0.45">
      <c r="D52">
        <v>244.5</v>
      </c>
      <c r="E52">
        <v>0.49099999999999999</v>
      </c>
      <c r="G52">
        <v>244.5</v>
      </c>
      <c r="H52">
        <v>0.42599999999999999</v>
      </c>
    </row>
    <row r="53" spans="4:8" x14ac:dyDescent="0.45">
      <c r="D53">
        <v>245</v>
      </c>
      <c r="E53">
        <v>0.47899999999999998</v>
      </c>
      <c r="G53">
        <v>245</v>
      </c>
      <c r="H53">
        <v>0.41499999999999998</v>
      </c>
    </row>
    <row r="54" spans="4:8" x14ac:dyDescent="0.45">
      <c r="D54">
        <v>245.5</v>
      </c>
      <c r="E54">
        <v>0.46899999999999997</v>
      </c>
      <c r="G54">
        <v>245.5</v>
      </c>
      <c r="H54">
        <v>0.40600000000000003</v>
      </c>
    </row>
    <row r="55" spans="4:8" x14ac:dyDescent="0.45">
      <c r="D55">
        <v>246</v>
      </c>
      <c r="E55">
        <v>0.46</v>
      </c>
      <c r="G55">
        <v>246</v>
      </c>
      <c r="H55">
        <v>0.39700000000000002</v>
      </c>
    </row>
    <row r="56" spans="4:8" x14ac:dyDescent="0.45">
      <c r="D56">
        <v>246.5</v>
      </c>
      <c r="E56">
        <v>0.45200000000000001</v>
      </c>
      <c r="G56">
        <v>246.5</v>
      </c>
      <c r="H56">
        <v>0.39</v>
      </c>
    </row>
    <row r="57" spans="4:8" x14ac:dyDescent="0.45">
      <c r="D57">
        <v>247</v>
      </c>
      <c r="E57">
        <v>0.443</v>
      </c>
      <c r="G57">
        <v>247</v>
      </c>
      <c r="H57">
        <v>0.38100000000000001</v>
      </c>
    </row>
    <row r="58" spans="4:8" x14ac:dyDescent="0.45">
      <c r="D58">
        <v>247.5</v>
      </c>
      <c r="E58">
        <v>0.433</v>
      </c>
      <c r="G58">
        <v>247.5</v>
      </c>
      <c r="H58">
        <v>0.372</v>
      </c>
    </row>
    <row r="59" spans="4:8" x14ac:dyDescent="0.45">
      <c r="D59">
        <v>248</v>
      </c>
      <c r="E59">
        <v>0.42299999999999999</v>
      </c>
      <c r="G59">
        <v>248</v>
      </c>
      <c r="H59">
        <v>0.36299999999999999</v>
      </c>
    </row>
    <row r="60" spans="4:8" x14ac:dyDescent="0.45">
      <c r="D60">
        <v>248.5</v>
      </c>
      <c r="E60">
        <v>0.41299999999999998</v>
      </c>
      <c r="G60">
        <v>248.5</v>
      </c>
      <c r="H60">
        <v>0.35399999999999998</v>
      </c>
    </row>
    <row r="61" spans="4:8" x14ac:dyDescent="0.45">
      <c r="D61">
        <v>249</v>
      </c>
      <c r="E61">
        <v>0.40300000000000002</v>
      </c>
      <c r="G61">
        <v>249</v>
      </c>
      <c r="H61">
        <v>0.34499999999999997</v>
      </c>
    </row>
    <row r="62" spans="4:8" x14ac:dyDescent="0.45">
      <c r="D62">
        <v>249.5</v>
      </c>
      <c r="E62">
        <v>0.39400000000000002</v>
      </c>
      <c r="G62">
        <v>249.5</v>
      </c>
      <c r="H62">
        <v>0.33600000000000002</v>
      </c>
    </row>
    <row r="63" spans="4:8" x14ac:dyDescent="0.45">
      <c r="D63">
        <v>250</v>
      </c>
      <c r="E63">
        <v>0.38600000000000001</v>
      </c>
      <c r="G63">
        <v>250</v>
      </c>
      <c r="H63">
        <v>0.32600000000000001</v>
      </c>
    </row>
    <row r="64" spans="4:8" x14ac:dyDescent="0.45">
      <c r="D64">
        <v>250.5</v>
      </c>
      <c r="E64">
        <v>0.379</v>
      </c>
      <c r="G64">
        <v>250.5</v>
      </c>
      <c r="H64">
        <v>0.31900000000000001</v>
      </c>
    </row>
    <row r="65" spans="4:8" x14ac:dyDescent="0.45">
      <c r="D65">
        <v>251</v>
      </c>
      <c r="E65">
        <v>0.372</v>
      </c>
      <c r="G65">
        <v>251</v>
      </c>
      <c r="H65">
        <v>0.312</v>
      </c>
    </row>
    <row r="66" spans="4:8" x14ac:dyDescent="0.45">
      <c r="D66">
        <v>251.5</v>
      </c>
      <c r="E66">
        <v>0.36499999999999999</v>
      </c>
      <c r="G66">
        <v>251.5</v>
      </c>
      <c r="H66">
        <v>0.30599999999999999</v>
      </c>
    </row>
    <row r="67" spans="4:8" x14ac:dyDescent="0.45">
      <c r="D67">
        <v>252</v>
      </c>
      <c r="E67">
        <v>0.35699999999999998</v>
      </c>
      <c r="G67">
        <v>252</v>
      </c>
      <c r="H67">
        <v>0.29899999999999999</v>
      </c>
    </row>
    <row r="68" spans="4:8" x14ac:dyDescent="0.45">
      <c r="D68">
        <v>252.5</v>
      </c>
      <c r="E68">
        <v>0.35</v>
      </c>
      <c r="G68">
        <v>252.5</v>
      </c>
      <c r="H68">
        <v>0.29199999999999998</v>
      </c>
    </row>
    <row r="69" spans="4:8" x14ac:dyDescent="0.45">
      <c r="D69">
        <v>253</v>
      </c>
      <c r="E69">
        <v>0.34100000000000003</v>
      </c>
      <c r="G69">
        <v>253</v>
      </c>
      <c r="H69">
        <v>0.28299999999999997</v>
      </c>
    </row>
    <row r="70" spans="4:8" x14ac:dyDescent="0.45">
      <c r="D70">
        <v>253.5</v>
      </c>
      <c r="E70">
        <v>0.33300000000000002</v>
      </c>
      <c r="G70">
        <v>253.5</v>
      </c>
      <c r="H70">
        <v>0.27400000000000002</v>
      </c>
    </row>
    <row r="71" spans="4:8" x14ac:dyDescent="0.45">
      <c r="D71">
        <v>254</v>
      </c>
      <c r="E71">
        <v>0.32500000000000001</v>
      </c>
      <c r="G71">
        <v>254</v>
      </c>
      <c r="H71">
        <v>0.26600000000000001</v>
      </c>
    </row>
    <row r="72" spans="4:8" x14ac:dyDescent="0.45">
      <c r="D72">
        <v>254.5</v>
      </c>
      <c r="E72">
        <v>0.316</v>
      </c>
      <c r="G72">
        <v>254.5</v>
      </c>
      <c r="H72">
        <v>0.25700000000000001</v>
      </c>
    </row>
    <row r="73" spans="4:8" x14ac:dyDescent="0.45">
      <c r="D73">
        <v>255</v>
      </c>
      <c r="E73">
        <v>0.308</v>
      </c>
      <c r="G73">
        <v>255</v>
      </c>
      <c r="H73">
        <v>0.25</v>
      </c>
    </row>
    <row r="74" spans="4:8" x14ac:dyDescent="0.45">
      <c r="D74">
        <v>255.5</v>
      </c>
      <c r="E74">
        <v>0.29899999999999999</v>
      </c>
      <c r="G74">
        <v>255.5</v>
      </c>
      <c r="H74">
        <v>0.24099999999999999</v>
      </c>
    </row>
    <row r="75" spans="4:8" x14ac:dyDescent="0.45">
      <c r="D75">
        <v>256</v>
      </c>
      <c r="E75">
        <v>0.29099999999999998</v>
      </c>
      <c r="G75">
        <v>256</v>
      </c>
      <c r="H75">
        <v>0.23300000000000001</v>
      </c>
    </row>
    <row r="76" spans="4:8" x14ac:dyDescent="0.45">
      <c r="D76">
        <v>256.5</v>
      </c>
      <c r="E76">
        <v>0.28100000000000003</v>
      </c>
      <c r="G76">
        <v>256.5</v>
      </c>
      <c r="H76">
        <v>0.22500000000000001</v>
      </c>
    </row>
    <row r="77" spans="4:8" x14ac:dyDescent="0.45">
      <c r="D77">
        <v>257</v>
      </c>
      <c r="E77">
        <v>0.27100000000000002</v>
      </c>
      <c r="G77">
        <v>257</v>
      </c>
      <c r="H77">
        <v>0.214</v>
      </c>
    </row>
    <row r="78" spans="4:8" x14ac:dyDescent="0.45">
      <c r="D78">
        <v>257.5</v>
      </c>
      <c r="E78">
        <v>0.26200000000000001</v>
      </c>
      <c r="G78">
        <v>257.5</v>
      </c>
      <c r="H78">
        <v>0.20599999999999999</v>
      </c>
    </row>
    <row r="79" spans="4:8" x14ac:dyDescent="0.45">
      <c r="D79">
        <v>258</v>
      </c>
      <c r="E79">
        <v>0.255</v>
      </c>
      <c r="G79">
        <v>258</v>
      </c>
      <c r="H79">
        <v>0.2</v>
      </c>
    </row>
    <row r="80" spans="4:8" x14ac:dyDescent="0.45">
      <c r="D80">
        <v>258.5</v>
      </c>
      <c r="E80">
        <v>0.25</v>
      </c>
      <c r="G80">
        <v>258.5</v>
      </c>
      <c r="H80">
        <v>0.19400000000000001</v>
      </c>
    </row>
    <row r="81" spans="4:8" x14ac:dyDescent="0.45">
      <c r="D81">
        <v>259</v>
      </c>
      <c r="E81">
        <v>0.246</v>
      </c>
      <c r="G81">
        <v>259</v>
      </c>
      <c r="H81">
        <v>0.191</v>
      </c>
    </row>
    <row r="82" spans="4:8" x14ac:dyDescent="0.45">
      <c r="D82">
        <v>259.5</v>
      </c>
      <c r="E82">
        <v>0.24199999999999999</v>
      </c>
      <c r="G82">
        <v>259.5</v>
      </c>
      <c r="H82">
        <v>0.187</v>
      </c>
    </row>
    <row r="83" spans="4:8" x14ac:dyDescent="0.45">
      <c r="D83">
        <v>260</v>
      </c>
      <c r="E83">
        <v>0.23899999999999999</v>
      </c>
      <c r="G83">
        <v>260</v>
      </c>
      <c r="H83">
        <v>0.184</v>
      </c>
    </row>
    <row r="84" spans="4:8" x14ac:dyDescent="0.45">
      <c r="D84">
        <v>260.5</v>
      </c>
      <c r="E84">
        <v>0.23499999999999999</v>
      </c>
      <c r="G84">
        <v>260.5</v>
      </c>
      <c r="H84">
        <v>0.18099999999999999</v>
      </c>
    </row>
    <row r="85" spans="4:8" x14ac:dyDescent="0.45">
      <c r="D85">
        <v>261</v>
      </c>
      <c r="E85">
        <v>0.23200000000000001</v>
      </c>
      <c r="G85">
        <v>261</v>
      </c>
      <c r="H85">
        <v>0.17899999999999999</v>
      </c>
    </row>
    <row r="86" spans="4:8" x14ac:dyDescent="0.45">
      <c r="D86">
        <v>261.5</v>
      </c>
      <c r="E86">
        <v>0.22800000000000001</v>
      </c>
      <c r="G86">
        <v>261.5</v>
      </c>
      <c r="H86">
        <v>0.17699999999999999</v>
      </c>
    </row>
    <row r="87" spans="4:8" x14ac:dyDescent="0.45">
      <c r="D87">
        <v>262</v>
      </c>
      <c r="E87">
        <v>0.22700000000000001</v>
      </c>
      <c r="G87">
        <v>262</v>
      </c>
      <c r="H87">
        <v>0.17499999999999999</v>
      </c>
    </row>
    <row r="88" spans="4:8" x14ac:dyDescent="0.45">
      <c r="D88">
        <v>262.5</v>
      </c>
      <c r="E88">
        <v>0.224</v>
      </c>
      <c r="G88">
        <v>262.5</v>
      </c>
      <c r="H88">
        <v>0.17199999999999999</v>
      </c>
    </row>
    <row r="89" spans="4:8" x14ac:dyDescent="0.45">
      <c r="D89">
        <v>263</v>
      </c>
      <c r="E89">
        <v>0.222</v>
      </c>
      <c r="G89">
        <v>263</v>
      </c>
      <c r="H89">
        <v>0.17100000000000001</v>
      </c>
    </row>
    <row r="90" spans="4:8" x14ac:dyDescent="0.45">
      <c r="D90">
        <v>263.5</v>
      </c>
      <c r="E90">
        <v>0.219</v>
      </c>
      <c r="G90">
        <v>263.5</v>
      </c>
      <c r="H90">
        <v>0.16800000000000001</v>
      </c>
    </row>
    <row r="91" spans="4:8" x14ac:dyDescent="0.45">
      <c r="D91">
        <v>264</v>
      </c>
      <c r="E91">
        <v>0.216</v>
      </c>
      <c r="G91">
        <v>264</v>
      </c>
      <c r="H91">
        <v>0.16400000000000001</v>
      </c>
    </row>
    <row r="92" spans="4:8" x14ac:dyDescent="0.45">
      <c r="D92">
        <v>264.5</v>
      </c>
      <c r="E92">
        <v>0.215</v>
      </c>
      <c r="G92">
        <v>264.5</v>
      </c>
      <c r="H92">
        <v>0.16500000000000001</v>
      </c>
    </row>
    <row r="93" spans="4:8" x14ac:dyDescent="0.45">
      <c r="D93">
        <v>265</v>
      </c>
      <c r="E93">
        <v>0.21199999999999999</v>
      </c>
      <c r="G93">
        <v>265</v>
      </c>
      <c r="H93">
        <v>0.16400000000000001</v>
      </c>
    </row>
    <row r="94" spans="4:8" x14ac:dyDescent="0.45">
      <c r="D94">
        <v>265.5</v>
      </c>
      <c r="E94">
        <v>0.21</v>
      </c>
      <c r="G94">
        <v>265.5</v>
      </c>
      <c r="H94">
        <v>0.16200000000000001</v>
      </c>
    </row>
    <row r="95" spans="4:8" x14ac:dyDescent="0.45">
      <c r="D95">
        <v>266</v>
      </c>
      <c r="E95">
        <v>0.20699999999999999</v>
      </c>
      <c r="G95">
        <v>266</v>
      </c>
      <c r="H95">
        <v>0.16</v>
      </c>
    </row>
    <row r="96" spans="4:8" x14ac:dyDescent="0.45">
      <c r="D96">
        <v>266.5</v>
      </c>
      <c r="E96">
        <v>0.20499999999999999</v>
      </c>
      <c r="G96">
        <v>266.5</v>
      </c>
      <c r="H96">
        <v>0.159</v>
      </c>
    </row>
    <row r="97" spans="4:8" x14ac:dyDescent="0.45">
      <c r="D97">
        <v>267</v>
      </c>
      <c r="E97">
        <v>0.20200000000000001</v>
      </c>
      <c r="G97">
        <v>267</v>
      </c>
      <c r="H97">
        <v>0.156</v>
      </c>
    </row>
    <row r="98" spans="4:8" x14ac:dyDescent="0.45">
      <c r="D98">
        <v>267.5</v>
      </c>
      <c r="E98">
        <v>0.19700000000000001</v>
      </c>
      <c r="G98">
        <v>267.5</v>
      </c>
      <c r="H98">
        <v>0.153</v>
      </c>
    </row>
    <row r="99" spans="4:8" x14ac:dyDescent="0.45">
      <c r="D99">
        <v>268</v>
      </c>
      <c r="E99">
        <v>0.19600000000000001</v>
      </c>
      <c r="G99">
        <v>268</v>
      </c>
      <c r="H99">
        <v>0.15</v>
      </c>
    </row>
    <row r="100" spans="4:8" x14ac:dyDescent="0.45">
      <c r="D100">
        <v>268.5</v>
      </c>
      <c r="E100">
        <v>0.193</v>
      </c>
      <c r="G100">
        <v>268.5</v>
      </c>
      <c r="H100">
        <v>0.14599999999999999</v>
      </c>
    </row>
    <row r="101" spans="4:8" x14ac:dyDescent="0.45">
      <c r="D101">
        <v>269</v>
      </c>
      <c r="E101">
        <v>0.188</v>
      </c>
      <c r="G101">
        <v>269</v>
      </c>
      <c r="H101">
        <v>0.14299999999999999</v>
      </c>
    </row>
    <row r="102" spans="4:8" x14ac:dyDescent="0.45">
      <c r="D102">
        <v>269.5</v>
      </c>
      <c r="E102">
        <v>0.184</v>
      </c>
      <c r="G102">
        <v>269.5</v>
      </c>
      <c r="H102">
        <v>0.13900000000000001</v>
      </c>
    </row>
    <row r="103" spans="4:8" x14ac:dyDescent="0.45">
      <c r="D103">
        <v>270</v>
      </c>
      <c r="E103">
        <v>0.182</v>
      </c>
      <c r="G103">
        <v>270</v>
      </c>
      <c r="H103">
        <v>0.13800000000000001</v>
      </c>
    </row>
    <row r="104" spans="4:8" x14ac:dyDescent="0.45">
      <c r="D104">
        <v>270.5</v>
      </c>
      <c r="E104">
        <v>0.18</v>
      </c>
      <c r="G104">
        <v>270.5</v>
      </c>
      <c r="H104">
        <v>0.13700000000000001</v>
      </c>
    </row>
    <row r="105" spans="4:8" x14ac:dyDescent="0.45">
      <c r="D105">
        <v>271</v>
      </c>
      <c r="E105">
        <v>0.17799999999999999</v>
      </c>
      <c r="G105">
        <v>271</v>
      </c>
      <c r="H105">
        <v>0.13500000000000001</v>
      </c>
    </row>
    <row r="106" spans="4:8" x14ac:dyDescent="0.45">
      <c r="D106">
        <v>271.5</v>
      </c>
      <c r="E106">
        <v>0.17599999999999999</v>
      </c>
      <c r="G106">
        <v>271.5</v>
      </c>
      <c r="H106">
        <v>0.13400000000000001</v>
      </c>
    </row>
    <row r="107" spans="4:8" x14ac:dyDescent="0.45">
      <c r="D107">
        <v>272</v>
      </c>
      <c r="E107">
        <v>0.17399999999999999</v>
      </c>
      <c r="G107">
        <v>272</v>
      </c>
      <c r="H107">
        <v>0.13200000000000001</v>
      </c>
    </row>
    <row r="108" spans="4:8" x14ac:dyDescent="0.45">
      <c r="D108">
        <v>272.5</v>
      </c>
      <c r="E108">
        <v>0.17299999999999999</v>
      </c>
      <c r="G108">
        <v>272.5</v>
      </c>
      <c r="H108">
        <v>0.13200000000000001</v>
      </c>
    </row>
    <row r="109" spans="4:8" x14ac:dyDescent="0.45">
      <c r="D109">
        <v>273</v>
      </c>
      <c r="E109">
        <v>0.17</v>
      </c>
      <c r="G109">
        <v>273</v>
      </c>
      <c r="H109">
        <v>0.13100000000000001</v>
      </c>
    </row>
    <row r="110" spans="4:8" x14ac:dyDescent="0.45">
      <c r="D110">
        <v>273.5</v>
      </c>
      <c r="E110">
        <v>0.17</v>
      </c>
      <c r="G110">
        <v>273.5</v>
      </c>
      <c r="H110">
        <v>0.13</v>
      </c>
    </row>
    <row r="111" spans="4:8" x14ac:dyDescent="0.45">
      <c r="D111">
        <v>274</v>
      </c>
      <c r="E111">
        <v>0.16700000000000001</v>
      </c>
      <c r="G111">
        <v>274</v>
      </c>
      <c r="H111">
        <v>0.126</v>
      </c>
    </row>
    <row r="112" spans="4:8" x14ac:dyDescent="0.45">
      <c r="D112">
        <v>274.5</v>
      </c>
      <c r="E112">
        <v>0.16500000000000001</v>
      </c>
      <c r="G112">
        <v>274.5</v>
      </c>
      <c r="H112">
        <v>0.125</v>
      </c>
    </row>
    <row r="113" spans="4:8" x14ac:dyDescent="0.45">
      <c r="D113">
        <v>275</v>
      </c>
      <c r="E113">
        <v>0.16400000000000001</v>
      </c>
      <c r="G113">
        <v>275</v>
      </c>
      <c r="H113">
        <v>0.124</v>
      </c>
    </row>
    <row r="114" spans="4:8" x14ac:dyDescent="0.45">
      <c r="D114">
        <v>275.5</v>
      </c>
      <c r="E114">
        <v>0.16200000000000001</v>
      </c>
      <c r="G114">
        <v>275.5</v>
      </c>
      <c r="H114">
        <v>0.124</v>
      </c>
    </row>
    <row r="115" spans="4:8" x14ac:dyDescent="0.45">
      <c r="D115">
        <v>276</v>
      </c>
      <c r="E115">
        <v>0.161</v>
      </c>
      <c r="G115">
        <v>276</v>
      </c>
      <c r="H115">
        <v>0.123</v>
      </c>
    </row>
    <row r="116" spans="4:8" x14ac:dyDescent="0.45">
      <c r="D116">
        <v>276.5</v>
      </c>
      <c r="E116">
        <v>0.161</v>
      </c>
      <c r="G116">
        <v>276.5</v>
      </c>
      <c r="H116">
        <v>0.121</v>
      </c>
    </row>
    <row r="117" spans="4:8" x14ac:dyDescent="0.45">
      <c r="D117">
        <v>277</v>
      </c>
      <c r="E117">
        <v>0.159</v>
      </c>
      <c r="G117">
        <v>277</v>
      </c>
      <c r="H117">
        <v>0.12</v>
      </c>
    </row>
    <row r="118" spans="4:8" x14ac:dyDescent="0.45">
      <c r="D118">
        <v>277.5</v>
      </c>
      <c r="E118">
        <v>0.158</v>
      </c>
      <c r="G118">
        <v>277.5</v>
      </c>
      <c r="H118">
        <v>0.11799999999999999</v>
      </c>
    </row>
    <row r="119" spans="4:8" x14ac:dyDescent="0.45">
      <c r="D119">
        <v>278</v>
      </c>
      <c r="E119">
        <v>0.156</v>
      </c>
      <c r="G119">
        <v>278</v>
      </c>
      <c r="H119">
        <v>0.115</v>
      </c>
    </row>
    <row r="120" spans="4:8" x14ac:dyDescent="0.45">
      <c r="D120">
        <v>278.5</v>
      </c>
      <c r="E120">
        <v>0.154</v>
      </c>
      <c r="G120">
        <v>278.5</v>
      </c>
      <c r="H120">
        <v>0.115</v>
      </c>
    </row>
    <row r="121" spans="4:8" x14ac:dyDescent="0.45">
      <c r="D121">
        <v>279</v>
      </c>
      <c r="E121">
        <v>0.153</v>
      </c>
      <c r="G121">
        <v>279</v>
      </c>
      <c r="H121">
        <v>0.113</v>
      </c>
    </row>
    <row r="122" spans="4:8" x14ac:dyDescent="0.45">
      <c r="D122">
        <v>279.5</v>
      </c>
      <c r="E122">
        <v>0.152</v>
      </c>
      <c r="G122">
        <v>279.5</v>
      </c>
      <c r="H122">
        <v>0.112</v>
      </c>
    </row>
    <row r="123" spans="4:8" x14ac:dyDescent="0.45">
      <c r="D123">
        <v>280</v>
      </c>
      <c r="E123">
        <v>0.152</v>
      </c>
      <c r="G123">
        <v>280</v>
      </c>
      <c r="H123">
        <v>0.111</v>
      </c>
    </row>
    <row r="124" spans="4:8" x14ac:dyDescent="0.45">
      <c r="D124">
        <v>280.5</v>
      </c>
      <c r="E124">
        <v>0.151</v>
      </c>
      <c r="G124">
        <v>280.5</v>
      </c>
      <c r="H124">
        <v>0.109</v>
      </c>
    </row>
    <row r="125" spans="4:8" x14ac:dyDescent="0.45">
      <c r="D125">
        <v>281</v>
      </c>
      <c r="E125">
        <v>0.14899999999999999</v>
      </c>
      <c r="G125">
        <v>281</v>
      </c>
      <c r="H125">
        <v>0.109</v>
      </c>
    </row>
    <row r="126" spans="4:8" x14ac:dyDescent="0.45">
      <c r="D126">
        <v>281.5</v>
      </c>
      <c r="E126">
        <v>0.14799999999999999</v>
      </c>
      <c r="G126">
        <v>281.5</v>
      </c>
      <c r="H126">
        <v>0.108</v>
      </c>
    </row>
    <row r="127" spans="4:8" x14ac:dyDescent="0.45">
      <c r="D127">
        <v>282</v>
      </c>
      <c r="E127">
        <v>0.14699999999999999</v>
      </c>
      <c r="G127">
        <v>282</v>
      </c>
      <c r="H127">
        <v>0.108</v>
      </c>
    </row>
    <row r="128" spans="4:8" x14ac:dyDescent="0.45">
      <c r="D128">
        <v>282.5</v>
      </c>
      <c r="E128">
        <v>0.14499999999999999</v>
      </c>
      <c r="G128">
        <v>282.5</v>
      </c>
      <c r="H128">
        <v>0.108</v>
      </c>
    </row>
    <row r="129" spans="4:8" x14ac:dyDescent="0.45">
      <c r="D129">
        <v>283</v>
      </c>
      <c r="E129">
        <v>0.14399999999999999</v>
      </c>
      <c r="G129">
        <v>283</v>
      </c>
      <c r="H129">
        <v>0.107</v>
      </c>
    </row>
    <row r="130" spans="4:8" x14ac:dyDescent="0.45">
      <c r="D130">
        <v>283.5</v>
      </c>
      <c r="E130">
        <v>0.14399999999999999</v>
      </c>
      <c r="G130">
        <v>283.5</v>
      </c>
      <c r="H130">
        <v>0.106</v>
      </c>
    </row>
    <row r="131" spans="4:8" x14ac:dyDescent="0.45">
      <c r="D131">
        <v>284</v>
      </c>
      <c r="E131">
        <v>0.14299999999999999</v>
      </c>
      <c r="G131">
        <v>284</v>
      </c>
      <c r="H131">
        <v>0.106</v>
      </c>
    </row>
    <row r="132" spans="4:8" x14ac:dyDescent="0.45">
      <c r="D132">
        <v>284.5</v>
      </c>
      <c r="E132">
        <v>0.14199999999999999</v>
      </c>
      <c r="G132">
        <v>284.5</v>
      </c>
      <c r="H132">
        <v>0.106</v>
      </c>
    </row>
    <row r="133" spans="4:8" x14ac:dyDescent="0.45">
      <c r="D133">
        <v>285</v>
      </c>
      <c r="E133">
        <v>0.14099999999999999</v>
      </c>
      <c r="G133">
        <v>285</v>
      </c>
      <c r="H133">
        <v>0.107</v>
      </c>
    </row>
    <row r="134" spans="4:8" x14ac:dyDescent="0.45">
      <c r="D134">
        <v>285.5</v>
      </c>
      <c r="E134">
        <v>0.14099999999999999</v>
      </c>
      <c r="G134">
        <v>285.5</v>
      </c>
      <c r="H134">
        <v>0.107</v>
      </c>
    </row>
    <row r="135" spans="4:8" x14ac:dyDescent="0.45">
      <c r="D135">
        <v>286</v>
      </c>
      <c r="E135">
        <v>0.14000000000000001</v>
      </c>
      <c r="G135">
        <v>286</v>
      </c>
      <c r="H135">
        <v>0.106</v>
      </c>
    </row>
    <row r="136" spans="4:8" x14ac:dyDescent="0.45">
      <c r="D136">
        <v>286.5</v>
      </c>
      <c r="E136">
        <v>0.14099999999999999</v>
      </c>
      <c r="G136">
        <v>286.5</v>
      </c>
      <c r="H136">
        <v>0.106</v>
      </c>
    </row>
    <row r="137" spans="4:8" x14ac:dyDescent="0.45">
      <c r="D137">
        <v>287</v>
      </c>
      <c r="E137">
        <v>0.14099999999999999</v>
      </c>
      <c r="G137">
        <v>287</v>
      </c>
      <c r="H137">
        <v>0.106</v>
      </c>
    </row>
    <row r="138" spans="4:8" x14ac:dyDescent="0.45">
      <c r="D138">
        <v>287.5</v>
      </c>
      <c r="E138">
        <v>0.13900000000000001</v>
      </c>
      <c r="G138">
        <v>287.5</v>
      </c>
      <c r="H138">
        <v>0.106</v>
      </c>
    </row>
    <row r="139" spans="4:8" x14ac:dyDescent="0.45">
      <c r="D139">
        <v>288</v>
      </c>
      <c r="E139">
        <v>0.13800000000000001</v>
      </c>
      <c r="G139">
        <v>288</v>
      </c>
      <c r="H139">
        <v>0.105</v>
      </c>
    </row>
    <row r="140" spans="4:8" x14ac:dyDescent="0.45">
      <c r="D140">
        <v>288.5</v>
      </c>
      <c r="E140">
        <v>0.13800000000000001</v>
      </c>
      <c r="G140">
        <v>288.5</v>
      </c>
      <c r="H140">
        <v>0.105</v>
      </c>
    </row>
    <row r="141" spans="4:8" x14ac:dyDescent="0.45">
      <c r="D141">
        <v>289</v>
      </c>
      <c r="E141">
        <v>0.13700000000000001</v>
      </c>
      <c r="G141">
        <v>289</v>
      </c>
      <c r="H141">
        <v>0.105</v>
      </c>
    </row>
    <row r="142" spans="4:8" x14ac:dyDescent="0.45">
      <c r="D142">
        <v>289.5</v>
      </c>
      <c r="E142">
        <v>0.13600000000000001</v>
      </c>
      <c r="G142">
        <v>289.5</v>
      </c>
      <c r="H142">
        <v>0.10299999999999999</v>
      </c>
    </row>
    <row r="143" spans="4:8" x14ac:dyDescent="0.45">
      <c r="D143">
        <v>290</v>
      </c>
      <c r="E143">
        <v>0.13700000000000001</v>
      </c>
      <c r="G143">
        <v>290</v>
      </c>
      <c r="H143">
        <v>0.10199999999999999</v>
      </c>
    </row>
    <row r="144" spans="4:8" x14ac:dyDescent="0.45">
      <c r="D144">
        <v>290.5</v>
      </c>
      <c r="E144">
        <v>0.13700000000000001</v>
      </c>
      <c r="G144">
        <v>290.5</v>
      </c>
      <c r="H144">
        <v>0.10199999999999999</v>
      </c>
    </row>
    <row r="145" spans="4:8" x14ac:dyDescent="0.45">
      <c r="D145">
        <v>291</v>
      </c>
      <c r="E145">
        <v>0.13600000000000001</v>
      </c>
      <c r="G145">
        <v>291</v>
      </c>
      <c r="H145">
        <v>0.10100000000000001</v>
      </c>
    </row>
    <row r="146" spans="4:8" x14ac:dyDescent="0.45">
      <c r="D146">
        <v>291.5</v>
      </c>
      <c r="E146">
        <v>0.13500000000000001</v>
      </c>
      <c r="G146">
        <v>291.5</v>
      </c>
      <c r="H146">
        <v>0.10100000000000001</v>
      </c>
    </row>
    <row r="147" spans="4:8" x14ac:dyDescent="0.45">
      <c r="D147">
        <v>292</v>
      </c>
      <c r="E147">
        <v>0.13400000000000001</v>
      </c>
      <c r="G147">
        <v>292</v>
      </c>
      <c r="H147">
        <v>0.10100000000000001</v>
      </c>
    </row>
    <row r="148" spans="4:8" x14ac:dyDescent="0.45">
      <c r="D148">
        <v>292.5</v>
      </c>
      <c r="E148">
        <v>0.13200000000000001</v>
      </c>
      <c r="G148">
        <v>292.5</v>
      </c>
      <c r="H148">
        <v>9.9000000000000005E-2</v>
      </c>
    </row>
    <row r="149" spans="4:8" x14ac:dyDescent="0.45">
      <c r="D149">
        <v>293</v>
      </c>
      <c r="E149">
        <v>0.13100000000000001</v>
      </c>
      <c r="G149">
        <v>293</v>
      </c>
      <c r="H149">
        <v>9.8000000000000004E-2</v>
      </c>
    </row>
    <row r="150" spans="4:8" x14ac:dyDescent="0.45">
      <c r="D150">
        <v>293.5</v>
      </c>
      <c r="E150">
        <v>0.129</v>
      </c>
      <c r="G150">
        <v>293.5</v>
      </c>
      <c r="H150">
        <v>9.6000000000000002E-2</v>
      </c>
    </row>
    <row r="151" spans="4:8" x14ac:dyDescent="0.45">
      <c r="D151">
        <v>294</v>
      </c>
      <c r="E151">
        <v>0.127</v>
      </c>
      <c r="G151">
        <v>294</v>
      </c>
      <c r="H151">
        <v>9.5000000000000001E-2</v>
      </c>
    </row>
    <row r="152" spans="4:8" x14ac:dyDescent="0.45">
      <c r="D152">
        <v>294.5</v>
      </c>
      <c r="E152">
        <v>0.125</v>
      </c>
      <c r="G152">
        <v>294.5</v>
      </c>
      <c r="H152">
        <v>9.4E-2</v>
      </c>
    </row>
    <row r="153" spans="4:8" x14ac:dyDescent="0.45">
      <c r="D153">
        <v>295</v>
      </c>
      <c r="E153">
        <v>0.124</v>
      </c>
      <c r="G153">
        <v>295</v>
      </c>
      <c r="H153">
        <v>9.2999999999999999E-2</v>
      </c>
    </row>
    <row r="154" spans="4:8" x14ac:dyDescent="0.45">
      <c r="D154">
        <v>295.5</v>
      </c>
      <c r="E154">
        <v>0.123</v>
      </c>
      <c r="G154">
        <v>295.5</v>
      </c>
      <c r="H154">
        <v>9.4E-2</v>
      </c>
    </row>
    <row r="155" spans="4:8" x14ac:dyDescent="0.45">
      <c r="D155">
        <v>296</v>
      </c>
      <c r="E155">
        <v>0.123</v>
      </c>
      <c r="G155">
        <v>296</v>
      </c>
      <c r="H155">
        <v>9.2999999999999999E-2</v>
      </c>
    </row>
    <row r="156" spans="4:8" x14ac:dyDescent="0.45">
      <c r="D156">
        <v>296.5</v>
      </c>
      <c r="E156">
        <v>0.121</v>
      </c>
      <c r="G156">
        <v>296.5</v>
      </c>
      <c r="H156">
        <v>9.1999999999999998E-2</v>
      </c>
    </row>
    <row r="157" spans="4:8" x14ac:dyDescent="0.45">
      <c r="D157">
        <v>297</v>
      </c>
      <c r="E157">
        <v>0.121</v>
      </c>
      <c r="G157">
        <v>297</v>
      </c>
      <c r="H157">
        <v>9.0999999999999998E-2</v>
      </c>
    </row>
    <row r="158" spans="4:8" x14ac:dyDescent="0.45">
      <c r="D158">
        <v>297.5</v>
      </c>
      <c r="E158">
        <v>0.12</v>
      </c>
      <c r="G158">
        <v>297.5</v>
      </c>
      <c r="H158">
        <v>9.1999999999999998E-2</v>
      </c>
    </row>
    <row r="159" spans="4:8" x14ac:dyDescent="0.45">
      <c r="D159">
        <v>298</v>
      </c>
      <c r="E159">
        <v>0.11899999999999999</v>
      </c>
      <c r="G159">
        <v>298</v>
      </c>
      <c r="H159">
        <v>9.1999999999999998E-2</v>
      </c>
    </row>
    <row r="160" spans="4:8" x14ac:dyDescent="0.45">
      <c r="D160">
        <v>298.5</v>
      </c>
      <c r="E160">
        <v>0.11700000000000001</v>
      </c>
      <c r="G160">
        <v>298.5</v>
      </c>
      <c r="H160">
        <v>9.0999999999999998E-2</v>
      </c>
    </row>
    <row r="161" spans="4:8" x14ac:dyDescent="0.45">
      <c r="D161">
        <v>299</v>
      </c>
      <c r="E161">
        <v>0.115</v>
      </c>
      <c r="G161">
        <v>299</v>
      </c>
      <c r="H161">
        <v>9.0999999999999998E-2</v>
      </c>
    </row>
    <row r="162" spans="4:8" x14ac:dyDescent="0.45">
      <c r="D162">
        <v>299.5</v>
      </c>
      <c r="E162">
        <v>0.114</v>
      </c>
      <c r="G162">
        <v>299.5</v>
      </c>
      <c r="H162">
        <v>0.09</v>
      </c>
    </row>
    <row r="163" spans="4:8" x14ac:dyDescent="0.45">
      <c r="D163">
        <v>300</v>
      </c>
      <c r="E163">
        <v>0.114</v>
      </c>
      <c r="G163">
        <v>300</v>
      </c>
      <c r="H163">
        <v>0.09</v>
      </c>
    </row>
    <row r="164" spans="4:8" x14ac:dyDescent="0.45">
      <c r="D164">
        <v>300.5</v>
      </c>
      <c r="E164">
        <v>0.114</v>
      </c>
      <c r="G164">
        <v>300.5</v>
      </c>
      <c r="H164">
        <v>8.8999999999999996E-2</v>
      </c>
    </row>
    <row r="165" spans="4:8" x14ac:dyDescent="0.45">
      <c r="D165">
        <v>301</v>
      </c>
      <c r="E165">
        <v>0.114</v>
      </c>
      <c r="G165">
        <v>301</v>
      </c>
      <c r="H165">
        <v>8.8999999999999996E-2</v>
      </c>
    </row>
    <row r="166" spans="4:8" x14ac:dyDescent="0.45">
      <c r="D166">
        <v>301.5</v>
      </c>
      <c r="E166">
        <v>0.114</v>
      </c>
      <c r="G166">
        <v>301.5</v>
      </c>
      <c r="H166">
        <v>0.09</v>
      </c>
    </row>
    <row r="167" spans="4:8" x14ac:dyDescent="0.45">
      <c r="D167">
        <v>302</v>
      </c>
      <c r="E167">
        <v>0.112</v>
      </c>
      <c r="G167">
        <v>302</v>
      </c>
      <c r="H167">
        <v>8.8999999999999996E-2</v>
      </c>
    </row>
    <row r="168" spans="4:8" x14ac:dyDescent="0.45">
      <c r="D168">
        <v>302.5</v>
      </c>
      <c r="E168">
        <v>0.111</v>
      </c>
      <c r="G168">
        <v>302.5</v>
      </c>
      <c r="H168">
        <v>8.7999999999999995E-2</v>
      </c>
    </row>
    <row r="169" spans="4:8" x14ac:dyDescent="0.45">
      <c r="D169">
        <v>303</v>
      </c>
      <c r="E169">
        <v>0.109</v>
      </c>
      <c r="G169">
        <v>303</v>
      </c>
      <c r="H169">
        <v>8.6999999999999994E-2</v>
      </c>
    </row>
    <row r="170" spans="4:8" x14ac:dyDescent="0.45">
      <c r="D170">
        <v>303.5</v>
      </c>
      <c r="E170">
        <v>0.106</v>
      </c>
      <c r="G170">
        <v>303.5</v>
      </c>
      <c r="H170">
        <v>8.4000000000000005E-2</v>
      </c>
    </row>
    <row r="171" spans="4:8" x14ac:dyDescent="0.45">
      <c r="D171">
        <v>304</v>
      </c>
      <c r="E171">
        <v>0.105</v>
      </c>
      <c r="G171">
        <v>304</v>
      </c>
      <c r="H171">
        <v>8.3000000000000004E-2</v>
      </c>
    </row>
    <row r="172" spans="4:8" x14ac:dyDescent="0.45">
      <c r="D172">
        <v>304.5</v>
      </c>
      <c r="E172">
        <v>0.10299999999999999</v>
      </c>
      <c r="G172">
        <v>304.5</v>
      </c>
      <c r="H172">
        <v>8.3000000000000004E-2</v>
      </c>
    </row>
    <row r="173" spans="4:8" x14ac:dyDescent="0.45">
      <c r="D173">
        <v>305</v>
      </c>
      <c r="E173">
        <v>0.10100000000000001</v>
      </c>
      <c r="G173">
        <v>305</v>
      </c>
      <c r="H173">
        <v>8.2000000000000003E-2</v>
      </c>
    </row>
    <row r="174" spans="4:8" x14ac:dyDescent="0.45">
      <c r="D174">
        <v>305.5</v>
      </c>
      <c r="E174">
        <v>9.9000000000000005E-2</v>
      </c>
      <c r="G174">
        <v>305.5</v>
      </c>
      <c r="H174">
        <v>7.9000000000000001E-2</v>
      </c>
    </row>
    <row r="175" spans="4:8" x14ac:dyDescent="0.45">
      <c r="D175">
        <v>306</v>
      </c>
      <c r="E175">
        <v>9.8000000000000004E-2</v>
      </c>
      <c r="G175">
        <v>306</v>
      </c>
      <c r="H175">
        <v>7.9000000000000001E-2</v>
      </c>
    </row>
    <row r="176" spans="4:8" x14ac:dyDescent="0.45">
      <c r="D176">
        <v>306.5</v>
      </c>
      <c r="E176">
        <v>9.7000000000000003E-2</v>
      </c>
      <c r="G176">
        <v>306.5</v>
      </c>
      <c r="H176">
        <v>7.6999999999999999E-2</v>
      </c>
    </row>
    <row r="177" spans="4:8" x14ac:dyDescent="0.45">
      <c r="D177">
        <v>307</v>
      </c>
      <c r="E177">
        <v>9.5000000000000001E-2</v>
      </c>
      <c r="G177">
        <v>307</v>
      </c>
      <c r="H177">
        <v>7.4999999999999997E-2</v>
      </c>
    </row>
    <row r="178" spans="4:8" x14ac:dyDescent="0.45">
      <c r="D178">
        <v>307.5</v>
      </c>
      <c r="E178">
        <v>9.2999999999999999E-2</v>
      </c>
      <c r="G178">
        <v>307.5</v>
      </c>
      <c r="H178">
        <v>7.3999999999999996E-2</v>
      </c>
    </row>
    <row r="179" spans="4:8" x14ac:dyDescent="0.45">
      <c r="D179">
        <v>308</v>
      </c>
      <c r="E179">
        <v>0.09</v>
      </c>
      <c r="G179">
        <v>308</v>
      </c>
      <c r="H179">
        <v>7.2999999999999995E-2</v>
      </c>
    </row>
    <row r="180" spans="4:8" x14ac:dyDescent="0.45">
      <c r="D180">
        <v>308.5</v>
      </c>
      <c r="E180">
        <v>8.6999999999999994E-2</v>
      </c>
      <c r="G180">
        <v>308.5</v>
      </c>
      <c r="H180">
        <v>7.0999999999999994E-2</v>
      </c>
    </row>
    <row r="181" spans="4:8" x14ac:dyDescent="0.45">
      <c r="D181">
        <v>309</v>
      </c>
      <c r="E181">
        <v>8.4000000000000005E-2</v>
      </c>
      <c r="G181">
        <v>309</v>
      </c>
      <c r="H181">
        <v>6.9000000000000006E-2</v>
      </c>
    </row>
    <row r="182" spans="4:8" x14ac:dyDescent="0.45">
      <c r="D182">
        <v>309.5</v>
      </c>
      <c r="E182">
        <v>8.2000000000000003E-2</v>
      </c>
      <c r="G182">
        <v>309.5</v>
      </c>
      <c r="H182">
        <v>6.7000000000000004E-2</v>
      </c>
    </row>
    <row r="183" spans="4:8" x14ac:dyDescent="0.45">
      <c r="D183">
        <v>310</v>
      </c>
      <c r="E183">
        <v>8.1000000000000003E-2</v>
      </c>
      <c r="G183">
        <v>310</v>
      </c>
      <c r="H183">
        <v>6.6000000000000003E-2</v>
      </c>
    </row>
    <row r="184" spans="4:8" x14ac:dyDescent="0.45">
      <c r="D184">
        <v>310.5</v>
      </c>
      <c r="E184">
        <v>7.9000000000000001E-2</v>
      </c>
      <c r="G184">
        <v>310.5</v>
      </c>
      <c r="H184">
        <v>6.4000000000000001E-2</v>
      </c>
    </row>
    <row r="185" spans="4:8" x14ac:dyDescent="0.45">
      <c r="D185">
        <v>311</v>
      </c>
      <c r="E185">
        <v>7.8E-2</v>
      </c>
      <c r="G185">
        <v>311</v>
      </c>
      <c r="H185">
        <v>6.3E-2</v>
      </c>
    </row>
    <row r="186" spans="4:8" x14ac:dyDescent="0.45">
      <c r="D186">
        <v>311.5</v>
      </c>
      <c r="E186">
        <v>7.5999999999999998E-2</v>
      </c>
      <c r="G186">
        <v>311.5</v>
      </c>
      <c r="H186">
        <v>6.2E-2</v>
      </c>
    </row>
    <row r="187" spans="4:8" x14ac:dyDescent="0.45">
      <c r="D187">
        <v>312</v>
      </c>
      <c r="E187">
        <v>7.3999999999999996E-2</v>
      </c>
      <c r="G187">
        <v>312</v>
      </c>
      <c r="H187">
        <v>5.8999999999999997E-2</v>
      </c>
    </row>
    <row r="188" spans="4:8" x14ac:dyDescent="0.45">
      <c r="D188">
        <v>312.5</v>
      </c>
      <c r="E188">
        <v>7.2999999999999995E-2</v>
      </c>
      <c r="G188">
        <v>312.5</v>
      </c>
      <c r="H188">
        <v>5.7000000000000002E-2</v>
      </c>
    </row>
    <row r="189" spans="4:8" x14ac:dyDescent="0.45">
      <c r="D189">
        <v>313</v>
      </c>
      <c r="E189">
        <v>7.0999999999999994E-2</v>
      </c>
      <c r="G189">
        <v>313</v>
      </c>
      <c r="H189">
        <v>5.6000000000000001E-2</v>
      </c>
    </row>
    <row r="190" spans="4:8" x14ac:dyDescent="0.45">
      <c r="D190">
        <v>313.5</v>
      </c>
      <c r="E190">
        <v>6.8000000000000005E-2</v>
      </c>
      <c r="G190">
        <v>313.5</v>
      </c>
      <c r="H190">
        <v>5.5E-2</v>
      </c>
    </row>
    <row r="191" spans="4:8" x14ac:dyDescent="0.45">
      <c r="D191">
        <v>314</v>
      </c>
      <c r="E191">
        <v>6.6000000000000003E-2</v>
      </c>
      <c r="G191">
        <v>314</v>
      </c>
      <c r="H191">
        <v>5.2999999999999999E-2</v>
      </c>
    </row>
    <row r="192" spans="4:8" x14ac:dyDescent="0.45">
      <c r="D192">
        <v>314.5</v>
      </c>
      <c r="E192">
        <v>6.6000000000000003E-2</v>
      </c>
      <c r="G192">
        <v>314.5</v>
      </c>
      <c r="H192">
        <v>5.2999999999999999E-2</v>
      </c>
    </row>
    <row r="193" spans="4:8" x14ac:dyDescent="0.45">
      <c r="D193">
        <v>315</v>
      </c>
      <c r="E193">
        <v>6.4000000000000001E-2</v>
      </c>
      <c r="G193">
        <v>315</v>
      </c>
      <c r="H193">
        <v>5.1999999999999998E-2</v>
      </c>
    </row>
    <row r="194" spans="4:8" x14ac:dyDescent="0.45">
      <c r="D194">
        <v>315.5</v>
      </c>
      <c r="E194">
        <v>6.0999999999999999E-2</v>
      </c>
      <c r="G194">
        <v>315.5</v>
      </c>
      <c r="H194">
        <v>4.9000000000000002E-2</v>
      </c>
    </row>
    <row r="195" spans="4:8" x14ac:dyDescent="0.45">
      <c r="D195">
        <v>316</v>
      </c>
      <c r="E195">
        <v>0.06</v>
      </c>
      <c r="G195">
        <v>316</v>
      </c>
      <c r="H195">
        <v>4.7E-2</v>
      </c>
    </row>
    <row r="196" spans="4:8" x14ac:dyDescent="0.45">
      <c r="D196">
        <v>316.5</v>
      </c>
      <c r="E196">
        <v>5.8999999999999997E-2</v>
      </c>
      <c r="G196">
        <v>316.5</v>
      </c>
      <c r="H196">
        <v>4.4999999999999998E-2</v>
      </c>
    </row>
    <row r="197" spans="4:8" x14ac:dyDescent="0.45">
      <c r="D197">
        <v>317</v>
      </c>
      <c r="E197">
        <v>5.7000000000000002E-2</v>
      </c>
      <c r="G197">
        <v>317</v>
      </c>
      <c r="H197">
        <v>4.2999999999999997E-2</v>
      </c>
    </row>
    <row r="198" spans="4:8" x14ac:dyDescent="0.45">
      <c r="D198">
        <v>317.5</v>
      </c>
      <c r="E198">
        <v>5.6000000000000001E-2</v>
      </c>
      <c r="G198">
        <v>317.5</v>
      </c>
      <c r="H198">
        <v>4.2000000000000003E-2</v>
      </c>
    </row>
    <row r="199" spans="4:8" x14ac:dyDescent="0.45">
      <c r="D199">
        <v>318</v>
      </c>
      <c r="E199">
        <v>5.3999999999999999E-2</v>
      </c>
      <c r="G199">
        <v>318</v>
      </c>
      <c r="H199">
        <v>0.04</v>
      </c>
    </row>
    <row r="200" spans="4:8" x14ac:dyDescent="0.45">
      <c r="D200">
        <v>318.5</v>
      </c>
      <c r="E200">
        <v>5.1999999999999998E-2</v>
      </c>
      <c r="G200">
        <v>318.5</v>
      </c>
      <c r="H200">
        <v>3.9E-2</v>
      </c>
    </row>
    <row r="201" spans="4:8" x14ac:dyDescent="0.45">
      <c r="D201">
        <v>319</v>
      </c>
      <c r="E201">
        <v>0.05</v>
      </c>
      <c r="G201">
        <v>319</v>
      </c>
      <c r="H201">
        <v>3.7999999999999999E-2</v>
      </c>
    </row>
    <row r="202" spans="4:8" x14ac:dyDescent="0.45">
      <c r="D202">
        <v>319.5</v>
      </c>
      <c r="E202">
        <v>0.05</v>
      </c>
      <c r="G202">
        <v>319.5</v>
      </c>
      <c r="H202">
        <v>3.7999999999999999E-2</v>
      </c>
    </row>
    <row r="203" spans="4:8" x14ac:dyDescent="0.45">
      <c r="D203">
        <v>320</v>
      </c>
      <c r="E203">
        <v>4.7E-2</v>
      </c>
      <c r="G203">
        <v>320</v>
      </c>
      <c r="H203">
        <v>3.7999999999999999E-2</v>
      </c>
    </row>
    <row r="204" spans="4:8" x14ac:dyDescent="0.45">
      <c r="D204">
        <v>320.5</v>
      </c>
      <c r="E204">
        <v>4.4999999999999998E-2</v>
      </c>
      <c r="G204">
        <v>320.5</v>
      </c>
      <c r="H204">
        <v>3.5999999999999997E-2</v>
      </c>
    </row>
    <row r="205" spans="4:8" x14ac:dyDescent="0.45">
      <c r="D205">
        <v>321</v>
      </c>
      <c r="E205">
        <v>4.2999999999999997E-2</v>
      </c>
      <c r="G205">
        <v>321</v>
      </c>
      <c r="H205">
        <v>3.4000000000000002E-2</v>
      </c>
    </row>
    <row r="206" spans="4:8" x14ac:dyDescent="0.45">
      <c r="D206">
        <v>321.5</v>
      </c>
      <c r="E206">
        <v>0.04</v>
      </c>
      <c r="G206">
        <v>321.5</v>
      </c>
      <c r="H206">
        <v>3.1E-2</v>
      </c>
    </row>
    <row r="207" spans="4:8" x14ac:dyDescent="0.45">
      <c r="D207">
        <v>322</v>
      </c>
      <c r="E207">
        <v>3.7999999999999999E-2</v>
      </c>
      <c r="G207">
        <v>322</v>
      </c>
      <c r="H207">
        <v>0.03</v>
      </c>
    </row>
    <row r="208" spans="4:8" x14ac:dyDescent="0.45">
      <c r="D208">
        <v>322.5</v>
      </c>
      <c r="E208">
        <v>3.5000000000000003E-2</v>
      </c>
      <c r="G208">
        <v>322.5</v>
      </c>
      <c r="H208">
        <v>2.8000000000000001E-2</v>
      </c>
    </row>
    <row r="209" spans="4:8" x14ac:dyDescent="0.45">
      <c r="D209">
        <v>323</v>
      </c>
      <c r="E209">
        <v>3.4000000000000002E-2</v>
      </c>
      <c r="G209">
        <v>323</v>
      </c>
      <c r="H209">
        <v>2.8000000000000001E-2</v>
      </c>
    </row>
    <row r="210" spans="4:8" x14ac:dyDescent="0.45">
      <c r="D210">
        <v>323.5</v>
      </c>
      <c r="E210">
        <v>3.2000000000000001E-2</v>
      </c>
      <c r="G210">
        <v>323.5</v>
      </c>
      <c r="H210">
        <v>2.5999999999999999E-2</v>
      </c>
    </row>
    <row r="211" spans="4:8" x14ac:dyDescent="0.45">
      <c r="D211">
        <v>324</v>
      </c>
      <c r="E211">
        <v>0.03</v>
      </c>
      <c r="G211">
        <v>324</v>
      </c>
      <c r="H211">
        <v>2.5999999999999999E-2</v>
      </c>
    </row>
    <row r="212" spans="4:8" x14ac:dyDescent="0.45">
      <c r="D212">
        <v>324.5</v>
      </c>
      <c r="E212">
        <v>2.9000000000000001E-2</v>
      </c>
      <c r="G212">
        <v>324.5</v>
      </c>
      <c r="H212">
        <v>2.5999999999999999E-2</v>
      </c>
    </row>
    <row r="213" spans="4:8" x14ac:dyDescent="0.45">
      <c r="D213">
        <v>325</v>
      </c>
      <c r="E213">
        <v>2.8000000000000001E-2</v>
      </c>
      <c r="G213">
        <v>325</v>
      </c>
      <c r="H213">
        <v>2.5000000000000001E-2</v>
      </c>
    </row>
    <row r="214" spans="4:8" x14ac:dyDescent="0.45">
      <c r="D214">
        <v>325.5</v>
      </c>
      <c r="E214">
        <v>2.5999999999999999E-2</v>
      </c>
      <c r="G214">
        <v>325.5</v>
      </c>
      <c r="H214">
        <v>2.4E-2</v>
      </c>
    </row>
    <row r="215" spans="4:8" x14ac:dyDescent="0.45">
      <c r="D215">
        <v>326</v>
      </c>
      <c r="E215">
        <v>2.4E-2</v>
      </c>
      <c r="G215">
        <v>326</v>
      </c>
      <c r="H215">
        <v>2.1999999999999999E-2</v>
      </c>
    </row>
    <row r="216" spans="4:8" x14ac:dyDescent="0.45">
      <c r="D216">
        <v>326.5</v>
      </c>
      <c r="E216">
        <v>2.3E-2</v>
      </c>
      <c r="G216">
        <v>326.5</v>
      </c>
      <c r="H216">
        <v>2.1000000000000001E-2</v>
      </c>
    </row>
    <row r="217" spans="4:8" x14ac:dyDescent="0.45">
      <c r="D217">
        <v>327</v>
      </c>
      <c r="E217">
        <v>2.3E-2</v>
      </c>
      <c r="G217">
        <v>327</v>
      </c>
      <c r="H217">
        <v>1.9E-2</v>
      </c>
    </row>
    <row r="218" spans="4:8" x14ac:dyDescent="0.45">
      <c r="D218">
        <v>327.5</v>
      </c>
      <c r="E218">
        <v>0.02</v>
      </c>
      <c r="G218">
        <v>327.5</v>
      </c>
      <c r="H218">
        <v>1.7999999999999999E-2</v>
      </c>
    </row>
    <row r="219" spans="4:8" x14ac:dyDescent="0.45">
      <c r="D219">
        <v>328</v>
      </c>
      <c r="E219">
        <v>1.9E-2</v>
      </c>
      <c r="G219">
        <v>328</v>
      </c>
      <c r="H219">
        <v>1.7000000000000001E-2</v>
      </c>
    </row>
    <row r="220" spans="4:8" x14ac:dyDescent="0.45">
      <c r="D220">
        <v>328.5</v>
      </c>
      <c r="E220">
        <v>1.6E-2</v>
      </c>
      <c r="G220">
        <v>328.5</v>
      </c>
      <c r="H220">
        <v>1.4999999999999999E-2</v>
      </c>
    </row>
    <row r="221" spans="4:8" x14ac:dyDescent="0.45">
      <c r="D221">
        <v>329</v>
      </c>
      <c r="E221">
        <v>1.7000000000000001E-2</v>
      </c>
      <c r="G221">
        <v>329</v>
      </c>
      <c r="H221">
        <v>1.4999999999999999E-2</v>
      </c>
    </row>
    <row r="222" spans="4:8" x14ac:dyDescent="0.45">
      <c r="D222">
        <v>329.5</v>
      </c>
      <c r="E222">
        <v>1.6E-2</v>
      </c>
      <c r="G222">
        <v>329.5</v>
      </c>
      <c r="H222">
        <v>1.4E-2</v>
      </c>
    </row>
    <row r="223" spans="4:8" x14ac:dyDescent="0.45">
      <c r="D223">
        <v>330</v>
      </c>
      <c r="E223">
        <v>1.4999999999999999E-2</v>
      </c>
      <c r="G223">
        <v>330</v>
      </c>
      <c r="H223">
        <v>1.2E-2</v>
      </c>
    </row>
    <row r="224" spans="4:8" x14ac:dyDescent="0.45">
      <c r="D224">
        <v>330.5</v>
      </c>
      <c r="E224">
        <v>1.4E-2</v>
      </c>
      <c r="G224">
        <v>330.5</v>
      </c>
      <c r="H224">
        <v>0.01</v>
      </c>
    </row>
    <row r="225" spans="4:8" x14ac:dyDescent="0.45">
      <c r="D225">
        <v>331</v>
      </c>
      <c r="E225">
        <v>1.4E-2</v>
      </c>
      <c r="G225">
        <v>331</v>
      </c>
      <c r="H225">
        <v>1.0999999999999999E-2</v>
      </c>
    </row>
    <row r="226" spans="4:8" x14ac:dyDescent="0.45">
      <c r="D226">
        <v>331.5</v>
      </c>
      <c r="E226">
        <v>1.4E-2</v>
      </c>
      <c r="G226">
        <v>331.5</v>
      </c>
      <c r="H226">
        <v>0.01</v>
      </c>
    </row>
    <row r="227" spans="4:8" x14ac:dyDescent="0.45">
      <c r="D227">
        <v>332</v>
      </c>
      <c r="E227">
        <v>1.4E-2</v>
      </c>
      <c r="G227">
        <v>332</v>
      </c>
      <c r="H227">
        <v>8.0000000000000002E-3</v>
      </c>
    </row>
    <row r="228" spans="4:8" x14ac:dyDescent="0.45">
      <c r="D228">
        <v>332.5</v>
      </c>
      <c r="E228">
        <v>1.2999999999999999E-2</v>
      </c>
      <c r="G228">
        <v>332.5</v>
      </c>
      <c r="H228">
        <v>8.0000000000000002E-3</v>
      </c>
    </row>
    <row r="229" spans="4:8" x14ac:dyDescent="0.45">
      <c r="D229">
        <v>333</v>
      </c>
      <c r="E229">
        <v>1.0999999999999999E-2</v>
      </c>
      <c r="G229">
        <v>333</v>
      </c>
      <c r="H229">
        <v>7.0000000000000001E-3</v>
      </c>
    </row>
    <row r="230" spans="4:8" x14ac:dyDescent="0.45">
      <c r="D230">
        <v>333.5</v>
      </c>
      <c r="E230">
        <v>0.01</v>
      </c>
      <c r="G230">
        <v>333.5</v>
      </c>
      <c r="H230">
        <v>7.0000000000000001E-3</v>
      </c>
    </row>
    <row r="231" spans="4:8" x14ac:dyDescent="0.45">
      <c r="D231">
        <v>334</v>
      </c>
      <c r="E231">
        <v>0.01</v>
      </c>
      <c r="G231">
        <v>334</v>
      </c>
      <c r="H231">
        <v>6.0000000000000001E-3</v>
      </c>
    </row>
    <row r="232" spans="4:8" x14ac:dyDescent="0.45">
      <c r="D232">
        <v>334.5</v>
      </c>
      <c r="E232">
        <v>8.9999999999999993E-3</v>
      </c>
      <c r="G232">
        <v>334.5</v>
      </c>
      <c r="H232">
        <v>6.0000000000000001E-3</v>
      </c>
    </row>
    <row r="233" spans="4:8" x14ac:dyDescent="0.45">
      <c r="D233">
        <v>335</v>
      </c>
      <c r="E233">
        <v>8.0000000000000002E-3</v>
      </c>
      <c r="G233">
        <v>335</v>
      </c>
      <c r="H233">
        <v>5.0000000000000001E-3</v>
      </c>
    </row>
    <row r="234" spans="4:8" x14ac:dyDescent="0.45">
      <c r="D234">
        <v>335.5</v>
      </c>
      <c r="E234">
        <v>8.0000000000000002E-3</v>
      </c>
      <c r="G234">
        <v>335.5</v>
      </c>
      <c r="H234">
        <v>5.0000000000000001E-3</v>
      </c>
    </row>
    <row r="235" spans="4:8" x14ac:dyDescent="0.45">
      <c r="D235">
        <v>336</v>
      </c>
      <c r="E235">
        <v>8.0000000000000002E-3</v>
      </c>
      <c r="G235">
        <v>336</v>
      </c>
      <c r="H235">
        <v>5.0000000000000001E-3</v>
      </c>
    </row>
    <row r="236" spans="4:8" x14ac:dyDescent="0.45">
      <c r="D236">
        <v>336.5</v>
      </c>
      <c r="E236">
        <v>7.0000000000000001E-3</v>
      </c>
      <c r="G236">
        <v>336.5</v>
      </c>
      <c r="H236">
        <v>4.0000000000000001E-3</v>
      </c>
    </row>
    <row r="237" spans="4:8" x14ac:dyDescent="0.45">
      <c r="D237">
        <v>337</v>
      </c>
      <c r="E237">
        <v>7.0000000000000001E-3</v>
      </c>
      <c r="G237">
        <v>337</v>
      </c>
      <c r="H237">
        <v>5.0000000000000001E-3</v>
      </c>
    </row>
    <row r="238" spans="4:8" x14ac:dyDescent="0.45">
      <c r="D238">
        <v>337.5</v>
      </c>
      <c r="E238">
        <v>6.0000000000000001E-3</v>
      </c>
      <c r="G238">
        <v>337.5</v>
      </c>
      <c r="H238">
        <v>4.0000000000000001E-3</v>
      </c>
    </row>
    <row r="239" spans="4:8" x14ac:dyDescent="0.45">
      <c r="D239">
        <v>338</v>
      </c>
      <c r="E239">
        <v>7.0000000000000001E-3</v>
      </c>
      <c r="G239">
        <v>338</v>
      </c>
      <c r="H239">
        <v>4.0000000000000001E-3</v>
      </c>
    </row>
    <row r="240" spans="4:8" x14ac:dyDescent="0.45">
      <c r="D240">
        <v>338.5</v>
      </c>
      <c r="E240">
        <v>5.0000000000000001E-3</v>
      </c>
      <c r="G240">
        <v>338.5</v>
      </c>
      <c r="H240">
        <v>3.0000000000000001E-3</v>
      </c>
    </row>
    <row r="241" spans="4:8" x14ac:dyDescent="0.45">
      <c r="D241">
        <v>339</v>
      </c>
      <c r="E241">
        <v>3.0000000000000001E-3</v>
      </c>
      <c r="G241">
        <v>339</v>
      </c>
      <c r="H241">
        <v>1E-3</v>
      </c>
    </row>
    <row r="242" spans="4:8" x14ac:dyDescent="0.45">
      <c r="D242">
        <v>339.5</v>
      </c>
      <c r="E242">
        <v>2E-3</v>
      </c>
      <c r="G242">
        <v>339.5</v>
      </c>
      <c r="H242">
        <v>1E-3</v>
      </c>
    </row>
    <row r="243" spans="4:8" x14ac:dyDescent="0.45">
      <c r="D243">
        <v>340</v>
      </c>
      <c r="E243">
        <v>0</v>
      </c>
      <c r="G243">
        <v>340</v>
      </c>
      <c r="H243">
        <v>0</v>
      </c>
    </row>
    <row r="244" spans="4:8" x14ac:dyDescent="0.45">
      <c r="D244">
        <v>340.5</v>
      </c>
      <c r="E244">
        <v>0</v>
      </c>
      <c r="G244">
        <v>340.5</v>
      </c>
      <c r="H244">
        <v>-1E-3</v>
      </c>
    </row>
    <row r="245" spans="4:8" x14ac:dyDescent="0.45">
      <c r="D245">
        <v>341</v>
      </c>
      <c r="E245">
        <v>0</v>
      </c>
      <c r="G245">
        <v>341</v>
      </c>
      <c r="H245">
        <v>-2E-3</v>
      </c>
    </row>
    <row r="246" spans="4:8" x14ac:dyDescent="0.45">
      <c r="D246">
        <v>341.5</v>
      </c>
      <c r="E246">
        <v>-2E-3</v>
      </c>
      <c r="G246">
        <v>341.5</v>
      </c>
      <c r="H246">
        <v>-4.0000000000000001E-3</v>
      </c>
    </row>
    <row r="247" spans="4:8" x14ac:dyDescent="0.45">
      <c r="D247">
        <v>342</v>
      </c>
      <c r="E247">
        <v>-3.0000000000000001E-3</v>
      </c>
      <c r="G247">
        <v>342</v>
      </c>
      <c r="H247">
        <v>-5.0000000000000001E-3</v>
      </c>
    </row>
    <row r="248" spans="4:8" x14ac:dyDescent="0.45">
      <c r="D248">
        <v>342.5</v>
      </c>
      <c r="E248">
        <v>-4.0000000000000001E-3</v>
      </c>
      <c r="G248">
        <v>342.5</v>
      </c>
      <c r="H248">
        <v>-6.0000000000000001E-3</v>
      </c>
    </row>
    <row r="249" spans="4:8" x14ac:dyDescent="0.45">
      <c r="D249">
        <v>343</v>
      </c>
      <c r="E249">
        <v>-4.0000000000000001E-3</v>
      </c>
      <c r="G249">
        <v>343</v>
      </c>
      <c r="H249">
        <v>-7.0000000000000001E-3</v>
      </c>
    </row>
    <row r="250" spans="4:8" x14ac:dyDescent="0.45">
      <c r="D250">
        <v>343.5</v>
      </c>
      <c r="E250">
        <v>-5.0000000000000001E-3</v>
      </c>
      <c r="G250">
        <v>343.5</v>
      </c>
      <c r="H250">
        <v>-7.0000000000000001E-3</v>
      </c>
    </row>
    <row r="251" spans="4:8" x14ac:dyDescent="0.45">
      <c r="D251">
        <v>344</v>
      </c>
      <c r="E251">
        <v>-5.0000000000000001E-3</v>
      </c>
      <c r="G251">
        <v>344</v>
      </c>
      <c r="H251">
        <v>-7.0000000000000001E-3</v>
      </c>
    </row>
    <row r="252" spans="4:8" x14ac:dyDescent="0.45">
      <c r="D252">
        <v>344.5</v>
      </c>
      <c r="E252">
        <v>-6.0000000000000001E-3</v>
      </c>
      <c r="G252">
        <v>344.5</v>
      </c>
      <c r="H252">
        <v>-7.0000000000000001E-3</v>
      </c>
    </row>
    <row r="253" spans="4:8" x14ac:dyDescent="0.45">
      <c r="D253">
        <v>345</v>
      </c>
      <c r="E253">
        <v>-5.0000000000000001E-3</v>
      </c>
      <c r="G253">
        <v>345</v>
      </c>
      <c r="H253">
        <v>-7.0000000000000001E-3</v>
      </c>
    </row>
    <row r="254" spans="4:8" x14ac:dyDescent="0.45">
      <c r="D254">
        <v>345.5</v>
      </c>
      <c r="E254">
        <v>-7.0000000000000001E-3</v>
      </c>
      <c r="G254">
        <v>345.5</v>
      </c>
      <c r="H254">
        <v>-7.0000000000000001E-3</v>
      </c>
    </row>
    <row r="255" spans="4:8" x14ac:dyDescent="0.45">
      <c r="D255">
        <v>346</v>
      </c>
      <c r="E255">
        <v>-8.0000000000000002E-3</v>
      </c>
      <c r="G255">
        <v>346</v>
      </c>
      <c r="H255">
        <v>-7.0000000000000001E-3</v>
      </c>
    </row>
    <row r="256" spans="4:8" x14ac:dyDescent="0.45">
      <c r="D256">
        <v>346.5</v>
      </c>
      <c r="E256">
        <v>-7.0000000000000001E-3</v>
      </c>
      <c r="G256">
        <v>346.5</v>
      </c>
      <c r="H256">
        <v>-8.9999999999999993E-3</v>
      </c>
    </row>
    <row r="257" spans="4:8" x14ac:dyDescent="0.45">
      <c r="D257">
        <v>347</v>
      </c>
      <c r="E257">
        <v>-8.0000000000000002E-3</v>
      </c>
      <c r="G257">
        <v>347</v>
      </c>
      <c r="H257">
        <v>-8.9999999999999993E-3</v>
      </c>
    </row>
    <row r="258" spans="4:8" x14ac:dyDescent="0.45">
      <c r="D258">
        <v>347.5</v>
      </c>
      <c r="E258">
        <v>-7.0000000000000001E-3</v>
      </c>
      <c r="G258">
        <v>347.5</v>
      </c>
      <c r="H258">
        <v>-1.0999999999999999E-2</v>
      </c>
    </row>
    <row r="259" spans="4:8" x14ac:dyDescent="0.45">
      <c r="D259">
        <v>348</v>
      </c>
      <c r="E259">
        <v>-7.0000000000000001E-3</v>
      </c>
      <c r="G259">
        <v>348</v>
      </c>
      <c r="H259">
        <v>-1.0999999999999999E-2</v>
      </c>
    </row>
    <row r="260" spans="4:8" x14ac:dyDescent="0.45">
      <c r="D260">
        <v>348.5</v>
      </c>
      <c r="E260">
        <v>-8.0000000000000002E-3</v>
      </c>
      <c r="G260">
        <v>348.5</v>
      </c>
      <c r="H260">
        <v>-1.0999999999999999E-2</v>
      </c>
    </row>
    <row r="261" spans="4:8" x14ac:dyDescent="0.45">
      <c r="D261">
        <v>349</v>
      </c>
      <c r="E261">
        <v>-8.0000000000000002E-3</v>
      </c>
      <c r="G261">
        <v>349</v>
      </c>
      <c r="H261">
        <v>-0.01</v>
      </c>
    </row>
    <row r="262" spans="4:8" x14ac:dyDescent="0.45">
      <c r="D262">
        <v>349.5</v>
      </c>
      <c r="E262">
        <v>-7.0000000000000001E-3</v>
      </c>
      <c r="G262">
        <v>349.5</v>
      </c>
      <c r="H262">
        <v>-8.9999999999999993E-3</v>
      </c>
    </row>
    <row r="263" spans="4:8" x14ac:dyDescent="0.45">
      <c r="D263">
        <v>350</v>
      </c>
      <c r="E263">
        <v>-8.0000000000000002E-3</v>
      </c>
      <c r="G263">
        <v>350</v>
      </c>
      <c r="H263">
        <v>-8.9999999999999993E-3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472B9-D910-4A37-98A7-E29C21F6B304}">
  <dimension ref="A1:M10"/>
  <sheetViews>
    <sheetView workbookViewId="0">
      <selection activeCell="B2" sqref="B2"/>
    </sheetView>
  </sheetViews>
  <sheetFormatPr defaultRowHeight="15" x14ac:dyDescent="0.45"/>
  <cols>
    <col min="2" max="2" width="22.7109375" bestFit="1" customWidth="1"/>
  </cols>
  <sheetData>
    <row r="1" spans="1:13" x14ac:dyDescent="0.45">
      <c r="A1">
        <v>0</v>
      </c>
      <c r="D1" t="s">
        <v>47</v>
      </c>
    </row>
    <row r="2" spans="1:13" x14ac:dyDescent="0.45">
      <c r="B2" t="s">
        <v>46</v>
      </c>
      <c r="D2" t="s">
        <v>1</v>
      </c>
      <c r="E2">
        <v>0</v>
      </c>
      <c r="F2">
        <v>4</v>
      </c>
      <c r="G2">
        <v>8</v>
      </c>
      <c r="H2">
        <v>12</v>
      </c>
      <c r="I2">
        <v>16</v>
      </c>
      <c r="J2">
        <v>20</v>
      </c>
      <c r="K2">
        <v>24</v>
      </c>
      <c r="L2">
        <v>32</v>
      </c>
      <c r="M2">
        <v>36</v>
      </c>
    </row>
    <row r="3" spans="1:13" x14ac:dyDescent="0.45">
      <c r="D3" t="s">
        <v>118</v>
      </c>
      <c r="E3">
        <v>7.2666666666666657E-2</v>
      </c>
      <c r="F3">
        <v>9.69E-2</v>
      </c>
      <c r="G3">
        <v>0.11466666666666668</v>
      </c>
      <c r="H3">
        <v>0.106</v>
      </c>
      <c r="I3">
        <v>0.13900000000000001</v>
      </c>
      <c r="J3">
        <v>0.14233333333333334</v>
      </c>
      <c r="K3">
        <v>0.13266666666666668</v>
      </c>
      <c r="L3">
        <v>0.12833333333333333</v>
      </c>
      <c r="M3">
        <v>0.13966666666666669</v>
      </c>
    </row>
    <row r="4" spans="1:13" x14ac:dyDescent="0.45">
      <c r="D4" t="s">
        <v>119</v>
      </c>
      <c r="E4">
        <v>7.9333333333333325E-2</v>
      </c>
      <c r="F4">
        <v>6.9999999999999993E-2</v>
      </c>
      <c r="G4">
        <v>8.4000000000000005E-2</v>
      </c>
      <c r="H4">
        <v>0.10199999999999999</v>
      </c>
      <c r="I4">
        <v>0.12666666666666668</v>
      </c>
      <c r="J4">
        <v>0.10766666666666665</v>
      </c>
      <c r="K4">
        <v>0.11733333333333335</v>
      </c>
      <c r="L4">
        <v>0.11366666666666665</v>
      </c>
      <c r="M4">
        <v>0.113</v>
      </c>
    </row>
    <row r="5" spans="1:13" x14ac:dyDescent="0.45">
      <c r="D5" t="s">
        <v>120</v>
      </c>
      <c r="E5">
        <v>8.5666666666666669E-2</v>
      </c>
      <c r="F5">
        <v>4.6000000000000006E-2</v>
      </c>
      <c r="G5">
        <v>8.7666666666666671E-2</v>
      </c>
      <c r="H5">
        <v>0.11333333333333333</v>
      </c>
      <c r="I5">
        <v>0.12133333333333333</v>
      </c>
      <c r="J5">
        <v>0.11699999999999999</v>
      </c>
      <c r="K5">
        <v>0.105</v>
      </c>
      <c r="L5">
        <v>0.11133333333333334</v>
      </c>
      <c r="M5">
        <v>0.127</v>
      </c>
    </row>
    <row r="6" spans="1:13" x14ac:dyDescent="0.45">
      <c r="D6" t="s">
        <v>6</v>
      </c>
    </row>
    <row r="7" spans="1:13" x14ac:dyDescent="0.45">
      <c r="D7" t="s">
        <v>1</v>
      </c>
      <c r="E7">
        <v>0</v>
      </c>
      <c r="F7">
        <v>4</v>
      </c>
      <c r="G7">
        <v>8</v>
      </c>
      <c r="H7">
        <v>12</v>
      </c>
      <c r="I7">
        <v>16</v>
      </c>
      <c r="J7">
        <v>20</v>
      </c>
      <c r="K7">
        <v>24</v>
      </c>
      <c r="L7">
        <v>32</v>
      </c>
      <c r="M7">
        <v>36</v>
      </c>
    </row>
    <row r="8" spans="1:13" x14ac:dyDescent="0.45">
      <c r="D8" t="s">
        <v>118</v>
      </c>
      <c r="E8">
        <v>1.3816254517375155E-2</v>
      </c>
      <c r="F8">
        <v>8.9825757256294051E-3</v>
      </c>
      <c r="G8">
        <v>3.2499572646762925E-2</v>
      </c>
      <c r="H8">
        <v>4.0767634221279034E-2</v>
      </c>
      <c r="I8">
        <v>1.4142135623730965E-3</v>
      </c>
      <c r="J8">
        <v>1.3816254517375138E-2</v>
      </c>
      <c r="K8">
        <v>2.5315783394730021E-2</v>
      </c>
      <c r="L8">
        <v>3.6745370078721779E-2</v>
      </c>
      <c r="M8">
        <v>4.1120419366646663E-2</v>
      </c>
    </row>
    <row r="9" spans="1:13" x14ac:dyDescent="0.45">
      <c r="D9" t="s">
        <v>119</v>
      </c>
      <c r="E9">
        <v>7.4087035902976189E-3</v>
      </c>
      <c r="F9">
        <v>1.6391054470859031E-2</v>
      </c>
      <c r="G9">
        <v>7.7888809636986163E-3</v>
      </c>
      <c r="H9">
        <v>1.8708286933869708E-2</v>
      </c>
      <c r="I9">
        <v>1.7326921891156068E-2</v>
      </c>
      <c r="J9">
        <v>1.3274871834493326E-2</v>
      </c>
      <c r="K9">
        <v>3.2396844839514161E-2</v>
      </c>
      <c r="L9">
        <v>2.0072092289766218E-2</v>
      </c>
      <c r="M9">
        <v>5.9262129560116228E-2</v>
      </c>
    </row>
    <row r="10" spans="1:13" x14ac:dyDescent="0.45">
      <c r="D10" t="s">
        <v>120</v>
      </c>
      <c r="E10">
        <v>7.5865377844940287E-3</v>
      </c>
      <c r="F10">
        <v>1.3441230102437297E-2</v>
      </c>
      <c r="G10">
        <v>1.4383632673594235E-2</v>
      </c>
      <c r="H10">
        <v>8.8065632090819322E-3</v>
      </c>
      <c r="I10">
        <v>3.3993463423951931E-3</v>
      </c>
      <c r="J10">
        <v>2.30362033908947E-2</v>
      </c>
      <c r="K10">
        <v>3.9656861533241217E-2</v>
      </c>
      <c r="L10">
        <v>1.8926759422104492E-2</v>
      </c>
      <c r="M10">
        <v>5.457105459856898E-2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8DC9B-E748-4029-8845-68BA03B50775}">
  <dimension ref="A1:P30"/>
  <sheetViews>
    <sheetView workbookViewId="0">
      <selection activeCell="B2" sqref="B2"/>
    </sheetView>
  </sheetViews>
  <sheetFormatPr defaultRowHeight="15" x14ac:dyDescent="0.45"/>
  <cols>
    <col min="2" max="2" width="14.85546875" bestFit="1" customWidth="1"/>
    <col min="4" max="4" width="23.5703125" bestFit="1" customWidth="1"/>
    <col min="5" max="5" width="24.35546875" bestFit="1" customWidth="1"/>
    <col min="6" max="6" width="13" bestFit="1" customWidth="1"/>
    <col min="8" max="8" width="41.5703125" bestFit="1" customWidth="1"/>
    <col min="9" max="9" width="24.35546875" bestFit="1" customWidth="1"/>
    <col min="10" max="11" width="13" bestFit="1" customWidth="1"/>
    <col min="13" max="13" width="41.5703125" bestFit="1" customWidth="1"/>
    <col min="14" max="14" width="24.35546875" bestFit="1" customWidth="1"/>
    <col min="15" max="16" width="13" bestFit="1" customWidth="1"/>
  </cols>
  <sheetData>
    <row r="1" spans="1:16" x14ac:dyDescent="0.45">
      <c r="A1">
        <v>0</v>
      </c>
    </row>
    <row r="2" spans="1:16" ht="15.4" thickBot="1" x14ac:dyDescent="0.5">
      <c r="B2" t="s">
        <v>48</v>
      </c>
      <c r="D2" s="9" t="s">
        <v>63</v>
      </c>
      <c r="E2" s="19" t="s">
        <v>123</v>
      </c>
      <c r="F2" s="14">
        <v>45524</v>
      </c>
      <c r="H2" s="15" t="s">
        <v>124</v>
      </c>
      <c r="I2" s="19" t="s">
        <v>123</v>
      </c>
      <c r="J2" s="27" t="s">
        <v>64</v>
      </c>
      <c r="K2" s="27"/>
      <c r="M2" s="15" t="s">
        <v>128</v>
      </c>
      <c r="N2" s="19" t="s">
        <v>123</v>
      </c>
      <c r="O2" s="27">
        <v>45556</v>
      </c>
      <c r="P2" s="27"/>
    </row>
    <row r="3" spans="1:16" x14ac:dyDescent="0.45">
      <c r="D3" t="s">
        <v>121</v>
      </c>
      <c r="E3" t="s">
        <v>122</v>
      </c>
      <c r="F3" t="s">
        <v>5</v>
      </c>
      <c r="H3" t="s">
        <v>125</v>
      </c>
      <c r="I3" t="s">
        <v>122</v>
      </c>
      <c r="J3" t="s">
        <v>5</v>
      </c>
      <c r="K3" t="s">
        <v>2</v>
      </c>
      <c r="M3" t="s">
        <v>125</v>
      </c>
      <c r="N3" t="s">
        <v>122</v>
      </c>
      <c r="O3" t="s">
        <v>5</v>
      </c>
      <c r="P3" t="s">
        <v>2</v>
      </c>
    </row>
    <row r="4" spans="1:16" x14ac:dyDescent="0.45">
      <c r="D4">
        <v>0</v>
      </c>
      <c r="E4">
        <v>907500000</v>
      </c>
      <c r="F4">
        <v>108512672.07105352</v>
      </c>
      <c r="H4">
        <v>1</v>
      </c>
      <c r="I4">
        <v>554000</v>
      </c>
      <c r="J4">
        <v>234128.17002659035</v>
      </c>
      <c r="K4">
        <v>0</v>
      </c>
      <c r="M4">
        <v>1</v>
      </c>
      <c r="N4">
        <v>4374000</v>
      </c>
      <c r="O4">
        <v>812758.26664513245</v>
      </c>
      <c r="P4">
        <v>0</v>
      </c>
    </row>
    <row r="5" spans="1:16" x14ac:dyDescent="0.45">
      <c r="D5">
        <v>10</v>
      </c>
      <c r="E5">
        <v>2596666666.666667</v>
      </c>
      <c r="F5">
        <v>156914697.2791976</v>
      </c>
      <c r="H5">
        <v>2</v>
      </c>
      <c r="I5">
        <v>1260000</v>
      </c>
      <c r="J5">
        <v>214631.46709340331</v>
      </c>
      <c r="K5">
        <v>0.25</v>
      </c>
      <c r="M5">
        <v>2</v>
      </c>
      <c r="N5">
        <v>9316666.666666666</v>
      </c>
      <c r="O5">
        <v>1151327.735944703</v>
      </c>
      <c r="P5">
        <v>0.25</v>
      </c>
    </row>
    <row r="6" spans="1:16" x14ac:dyDescent="0.45">
      <c r="D6">
        <v>25</v>
      </c>
      <c r="E6">
        <v>2326666666.6666665</v>
      </c>
      <c r="F6">
        <v>330790299.46814072</v>
      </c>
      <c r="H6">
        <v>3</v>
      </c>
      <c r="I6">
        <v>1384000</v>
      </c>
      <c r="J6">
        <v>446246.56861425837</v>
      </c>
      <c r="K6">
        <v>0.5</v>
      </c>
      <c r="M6">
        <v>3</v>
      </c>
      <c r="N6">
        <v>14983333.333333332</v>
      </c>
      <c r="O6">
        <v>1185561.2829185827</v>
      </c>
      <c r="P6">
        <v>0.75</v>
      </c>
    </row>
    <row r="7" spans="1:16" x14ac:dyDescent="0.45">
      <c r="D7">
        <v>50</v>
      </c>
      <c r="E7">
        <v>1987500000</v>
      </c>
      <c r="F7">
        <v>182048528.32875818</v>
      </c>
      <c r="H7">
        <v>4</v>
      </c>
      <c r="I7">
        <v>1361333.3333333335</v>
      </c>
      <c r="J7">
        <v>223292.53358667315</v>
      </c>
      <c r="K7">
        <v>1</v>
      </c>
      <c r="M7">
        <v>4</v>
      </c>
      <c r="N7">
        <v>16580000</v>
      </c>
      <c r="O7">
        <v>2377898.2316322955</v>
      </c>
      <c r="P7">
        <v>1.25</v>
      </c>
    </row>
    <row r="8" spans="1:16" x14ac:dyDescent="0.45">
      <c r="D8">
        <v>100</v>
      </c>
      <c r="E8">
        <v>1440000000</v>
      </c>
      <c r="F8">
        <v>73484692.283495337</v>
      </c>
      <c r="H8">
        <v>5</v>
      </c>
      <c r="I8">
        <v>2672500</v>
      </c>
      <c r="J8">
        <v>447148.37209439406</v>
      </c>
      <c r="K8">
        <v>2</v>
      </c>
    </row>
    <row r="9" spans="1:16" x14ac:dyDescent="0.45">
      <c r="D9">
        <v>250</v>
      </c>
      <c r="E9">
        <v>225000000</v>
      </c>
      <c r="F9">
        <v>79214897.588774294</v>
      </c>
      <c r="H9">
        <v>6</v>
      </c>
      <c r="I9">
        <v>6800000</v>
      </c>
      <c r="J9">
        <v>711805.21680208738</v>
      </c>
      <c r="K9">
        <v>3</v>
      </c>
      <c r="M9" t="s">
        <v>126</v>
      </c>
      <c r="N9" t="s">
        <v>122</v>
      </c>
      <c r="O9" t="s">
        <v>5</v>
      </c>
      <c r="P9" t="s">
        <v>2</v>
      </c>
    </row>
    <row r="10" spans="1:16" x14ac:dyDescent="0.45">
      <c r="H10">
        <v>7</v>
      </c>
      <c r="I10">
        <v>16033333.333333332</v>
      </c>
      <c r="J10">
        <v>2872087.8971384023</v>
      </c>
      <c r="K10">
        <v>4</v>
      </c>
      <c r="M10">
        <v>0</v>
      </c>
      <c r="N10">
        <v>4374000</v>
      </c>
      <c r="O10">
        <v>812758.26664513245</v>
      </c>
      <c r="P10">
        <v>0</v>
      </c>
    </row>
    <row r="11" spans="1:16" x14ac:dyDescent="0.45">
      <c r="M11">
        <v>1</v>
      </c>
      <c r="N11">
        <v>5248000</v>
      </c>
      <c r="O11">
        <v>856168.20777228114</v>
      </c>
      <c r="P11">
        <v>1.6666666666666666E-2</v>
      </c>
    </row>
    <row r="12" spans="1:16" x14ac:dyDescent="0.45">
      <c r="H12" t="s">
        <v>126</v>
      </c>
      <c r="I12" t="s">
        <v>122</v>
      </c>
      <c r="J12" t="s">
        <v>5</v>
      </c>
      <c r="K12" t="s">
        <v>2</v>
      </c>
      <c r="M12">
        <v>2</v>
      </c>
      <c r="N12">
        <v>5811666.666666667</v>
      </c>
      <c r="O12">
        <v>556766.45812125655</v>
      </c>
      <c r="P12">
        <v>0.25</v>
      </c>
    </row>
    <row r="13" spans="1:16" x14ac:dyDescent="0.45">
      <c r="H13">
        <v>0</v>
      </c>
      <c r="I13">
        <v>554000</v>
      </c>
      <c r="J13">
        <v>234128.17002659035</v>
      </c>
      <c r="K13">
        <v>0</v>
      </c>
      <c r="M13">
        <v>3</v>
      </c>
      <c r="N13">
        <v>11200000</v>
      </c>
      <c r="O13">
        <v>432049.37989385735</v>
      </c>
      <c r="P13">
        <v>0.75</v>
      </c>
    </row>
    <row r="14" spans="1:16" x14ac:dyDescent="0.45">
      <c r="H14">
        <v>1</v>
      </c>
      <c r="I14">
        <v>659166.66666666674</v>
      </c>
      <c r="J14">
        <v>256704.54265988793</v>
      </c>
      <c r="K14">
        <v>1.6666666666666666E-2</v>
      </c>
      <c r="M14">
        <v>4</v>
      </c>
      <c r="N14">
        <v>13050000</v>
      </c>
      <c r="O14">
        <v>754983.443527075</v>
      </c>
      <c r="P14">
        <v>1.25</v>
      </c>
    </row>
    <row r="15" spans="1:16" x14ac:dyDescent="0.45">
      <c r="H15">
        <v>2</v>
      </c>
      <c r="I15">
        <v>1133333.3333333333</v>
      </c>
      <c r="J15">
        <v>191601.43817599886</v>
      </c>
      <c r="K15">
        <v>0.25</v>
      </c>
    </row>
    <row r="16" spans="1:16" x14ac:dyDescent="0.45">
      <c r="H16">
        <v>3</v>
      </c>
      <c r="I16">
        <v>1018333.3333333333</v>
      </c>
      <c r="J16">
        <v>389686.48367059836</v>
      </c>
      <c r="K16">
        <v>0.5</v>
      </c>
      <c r="M16" t="s">
        <v>127</v>
      </c>
      <c r="N16" t="s">
        <v>122</v>
      </c>
      <c r="O16" t="s">
        <v>5</v>
      </c>
      <c r="P16" t="s">
        <v>2</v>
      </c>
    </row>
    <row r="17" spans="8:16" x14ac:dyDescent="0.45">
      <c r="H17">
        <v>4</v>
      </c>
      <c r="I17">
        <v>962500</v>
      </c>
      <c r="J17">
        <v>355914.31553114014</v>
      </c>
      <c r="K17">
        <v>1</v>
      </c>
      <c r="M17">
        <v>0</v>
      </c>
      <c r="N17">
        <v>4374000</v>
      </c>
      <c r="O17">
        <v>812758.26664513245</v>
      </c>
      <c r="P17">
        <v>0</v>
      </c>
    </row>
    <row r="18" spans="8:16" x14ac:dyDescent="0.45">
      <c r="H18">
        <v>5</v>
      </c>
      <c r="I18">
        <v>1007500</v>
      </c>
      <c r="J18">
        <v>93674.969975975968</v>
      </c>
      <c r="K18">
        <v>2</v>
      </c>
      <c r="M18">
        <v>1</v>
      </c>
      <c r="N18">
        <v>4884000</v>
      </c>
      <c r="O18">
        <v>1013398.2435350872</v>
      </c>
      <c r="P18">
        <v>1.6666666666666666E-2</v>
      </c>
    </row>
    <row r="19" spans="8:16" x14ac:dyDescent="0.45">
      <c r="H19">
        <v>6</v>
      </c>
      <c r="I19">
        <v>6000000</v>
      </c>
      <c r="J19">
        <v>3798245.2088650973</v>
      </c>
      <c r="K19">
        <v>3</v>
      </c>
      <c r="M19">
        <v>2</v>
      </c>
      <c r="N19">
        <v>4006666.6666666665</v>
      </c>
      <c r="O19">
        <v>567176.24147075217</v>
      </c>
      <c r="P19">
        <v>0.25</v>
      </c>
    </row>
    <row r="20" spans="8:16" x14ac:dyDescent="0.45">
      <c r="H20">
        <v>7</v>
      </c>
      <c r="I20">
        <v>10150000</v>
      </c>
      <c r="J20">
        <v>2851315.4858766505</v>
      </c>
      <c r="K20">
        <v>4</v>
      </c>
      <c r="M20">
        <v>3</v>
      </c>
      <c r="N20">
        <v>10600000</v>
      </c>
      <c r="O20">
        <v>326598.63237109041</v>
      </c>
      <c r="P20">
        <v>0.75</v>
      </c>
    </row>
    <row r="21" spans="8:16" x14ac:dyDescent="0.45">
      <c r="M21">
        <v>4</v>
      </c>
      <c r="N21">
        <v>12700000</v>
      </c>
      <c r="O21">
        <v>346410.16151377547</v>
      </c>
      <c r="P21">
        <v>1.25</v>
      </c>
    </row>
    <row r="22" spans="8:16" x14ac:dyDescent="0.45">
      <c r="H22" t="s">
        <v>127</v>
      </c>
      <c r="I22" t="s">
        <v>122</v>
      </c>
      <c r="J22" t="s">
        <v>5</v>
      </c>
      <c r="K22" t="s">
        <v>2</v>
      </c>
    </row>
    <row r="23" spans="8:16" x14ac:dyDescent="0.45">
      <c r="H23">
        <v>0</v>
      </c>
      <c r="I23">
        <v>554000</v>
      </c>
      <c r="J23">
        <v>234128.17002659035</v>
      </c>
      <c r="K23">
        <v>0</v>
      </c>
    </row>
    <row r="24" spans="8:16" x14ac:dyDescent="0.45">
      <c r="H24">
        <v>1</v>
      </c>
      <c r="I24">
        <v>669166.66666666674</v>
      </c>
      <c r="J24">
        <v>121506.74421154115</v>
      </c>
      <c r="K24">
        <v>1.6666666666666666E-2</v>
      </c>
    </row>
    <row r="25" spans="8:16" x14ac:dyDescent="0.45">
      <c r="H25">
        <v>2</v>
      </c>
      <c r="I25">
        <v>951666.66666666674</v>
      </c>
      <c r="J25">
        <v>265057.64572174777</v>
      </c>
      <c r="K25">
        <v>0.25</v>
      </c>
    </row>
    <row r="26" spans="8:16" x14ac:dyDescent="0.45">
      <c r="H26">
        <v>3</v>
      </c>
      <c r="I26">
        <v>905000</v>
      </c>
      <c r="J26">
        <v>148660.68747318507</v>
      </c>
      <c r="K26">
        <v>0.5</v>
      </c>
    </row>
    <row r="27" spans="8:16" x14ac:dyDescent="0.45">
      <c r="H27">
        <v>4</v>
      </c>
      <c r="I27">
        <v>822500</v>
      </c>
      <c r="J27">
        <v>183779.75949489104</v>
      </c>
      <c r="K27">
        <v>1</v>
      </c>
    </row>
    <row r="28" spans="8:16" x14ac:dyDescent="0.45">
      <c r="H28">
        <v>5</v>
      </c>
      <c r="I28">
        <v>1190000</v>
      </c>
      <c r="J28">
        <v>333266.65999866632</v>
      </c>
      <c r="K28">
        <v>2</v>
      </c>
    </row>
    <row r="29" spans="8:16" x14ac:dyDescent="0.45">
      <c r="H29">
        <v>6</v>
      </c>
      <c r="I29">
        <v>4825000</v>
      </c>
      <c r="J29">
        <v>2026696.8199511243</v>
      </c>
      <c r="K29">
        <v>3</v>
      </c>
    </row>
    <row r="30" spans="8:16" x14ac:dyDescent="0.45">
      <c r="H30">
        <v>7</v>
      </c>
      <c r="I30">
        <v>11400000</v>
      </c>
      <c r="J30">
        <v>2227105.7451320086</v>
      </c>
      <c r="K30">
        <v>4</v>
      </c>
    </row>
  </sheetData>
  <mergeCells count="2">
    <mergeCell ref="J2:K2"/>
    <mergeCell ref="O2:P2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FEB52-8AB2-4E5C-88AA-D83CC79ADAB4}">
  <dimension ref="A1:AT56"/>
  <sheetViews>
    <sheetView workbookViewId="0">
      <selection activeCell="B2" sqref="B2"/>
    </sheetView>
  </sheetViews>
  <sheetFormatPr defaultRowHeight="15" x14ac:dyDescent="0.45"/>
  <cols>
    <col min="2" max="2" width="25.140625" bestFit="1" customWidth="1"/>
    <col min="4" max="4" width="13.28515625" bestFit="1" customWidth="1"/>
    <col min="5" max="5" width="24.35546875" bestFit="1" customWidth="1"/>
    <col min="6" max="7" width="13" bestFit="1" customWidth="1"/>
    <col min="12" max="12" width="22.5" bestFit="1" customWidth="1"/>
    <col min="13" max="13" width="12.28515625" bestFit="1" customWidth="1"/>
    <col min="14" max="14" width="24.42578125" bestFit="1" customWidth="1"/>
    <col min="15" max="15" width="5.640625" bestFit="1" customWidth="1"/>
    <col min="16" max="16" width="19.35546875" bestFit="1" customWidth="1"/>
    <col min="18" max="18" width="22.5" bestFit="1" customWidth="1"/>
    <col min="19" max="19" width="12.28515625" bestFit="1" customWidth="1"/>
    <col min="20" max="20" width="24.42578125" bestFit="1" customWidth="1"/>
    <col min="21" max="21" width="12.28515625" bestFit="1" customWidth="1"/>
    <col min="22" max="22" width="19.35546875" bestFit="1" customWidth="1"/>
    <col min="24" max="24" width="22.5" bestFit="1" customWidth="1"/>
    <col min="25" max="25" width="12.28515625" bestFit="1" customWidth="1"/>
    <col min="26" max="26" width="24.42578125" bestFit="1" customWidth="1"/>
    <col min="27" max="27" width="12.28515625" bestFit="1" customWidth="1"/>
    <col min="28" max="28" width="19.35546875" bestFit="1" customWidth="1"/>
    <col min="30" max="30" width="22.5" bestFit="1" customWidth="1"/>
    <col min="31" max="31" width="12.28515625" bestFit="1" customWidth="1"/>
    <col min="32" max="32" width="24.42578125" bestFit="1" customWidth="1"/>
    <col min="33" max="33" width="5.140625" bestFit="1" customWidth="1"/>
    <col min="34" max="34" width="19.35546875" bestFit="1" customWidth="1"/>
    <col min="36" max="36" width="22.5" bestFit="1" customWidth="1"/>
    <col min="37" max="37" width="12.28515625" bestFit="1" customWidth="1"/>
    <col min="38" max="38" width="24.42578125" bestFit="1" customWidth="1"/>
    <col min="39" max="39" width="12.28515625" bestFit="1" customWidth="1"/>
    <col min="40" max="40" width="19.35546875" bestFit="1" customWidth="1"/>
    <col min="42" max="42" width="22.5" bestFit="1" customWidth="1"/>
    <col min="43" max="43" width="12.28515625" bestFit="1" customWidth="1"/>
    <col min="44" max="44" width="24.42578125" bestFit="1" customWidth="1"/>
    <col min="45" max="45" width="12.28515625" bestFit="1" customWidth="1"/>
    <col min="46" max="46" width="19.35546875" bestFit="1" customWidth="1"/>
  </cols>
  <sheetData>
    <row r="1" spans="1:46" x14ac:dyDescent="0.45">
      <c r="A1">
        <v>0</v>
      </c>
    </row>
    <row r="2" spans="1:46" x14ac:dyDescent="0.45">
      <c r="B2" t="s">
        <v>129</v>
      </c>
    </row>
    <row r="3" spans="1:46" x14ac:dyDescent="0.45">
      <c r="D3" t="s">
        <v>125</v>
      </c>
      <c r="E3" t="s">
        <v>122</v>
      </c>
      <c r="F3" t="s">
        <v>5</v>
      </c>
      <c r="G3" t="s">
        <v>2</v>
      </c>
      <c r="H3" t="s">
        <v>130</v>
      </c>
      <c r="L3" s="1"/>
      <c r="M3" s="1" t="s">
        <v>131</v>
      </c>
      <c r="N3" s="1" t="s">
        <v>132</v>
      </c>
      <c r="O3" s="1" t="s">
        <v>131</v>
      </c>
      <c r="P3" s="1" t="s">
        <v>132</v>
      </c>
      <c r="S3" s="1" t="s">
        <v>131</v>
      </c>
      <c r="T3" s="1" t="s">
        <v>132</v>
      </c>
      <c r="U3" s="1" t="s">
        <v>131</v>
      </c>
      <c r="V3" s="1" t="s">
        <v>132</v>
      </c>
      <c r="Y3" s="1" t="s">
        <v>131</v>
      </c>
      <c r="Z3" s="1" t="s">
        <v>132</v>
      </c>
      <c r="AA3" s="1" t="s">
        <v>131</v>
      </c>
      <c r="AB3" s="1" t="s">
        <v>132</v>
      </c>
      <c r="AE3" s="1" t="s">
        <v>131</v>
      </c>
      <c r="AF3" s="1" t="s">
        <v>132</v>
      </c>
      <c r="AG3" s="1" t="s">
        <v>131</v>
      </c>
      <c r="AH3" s="1" t="s">
        <v>132</v>
      </c>
      <c r="AK3" s="1" t="s">
        <v>131</v>
      </c>
      <c r="AL3" s="1" t="s">
        <v>132</v>
      </c>
      <c r="AM3" s="1" t="s">
        <v>131</v>
      </c>
      <c r="AN3" s="1" t="s">
        <v>132</v>
      </c>
      <c r="AQ3" s="1" t="s">
        <v>131</v>
      </c>
      <c r="AR3" s="1" t="s">
        <v>132</v>
      </c>
      <c r="AS3" s="1" t="s">
        <v>131</v>
      </c>
      <c r="AT3" s="1" t="s">
        <v>132</v>
      </c>
    </row>
    <row r="4" spans="1:46" x14ac:dyDescent="0.45">
      <c r="D4">
        <v>1</v>
      </c>
      <c r="E4">
        <v>1814000</v>
      </c>
      <c r="F4">
        <v>500975.04927890375</v>
      </c>
      <c r="G4">
        <v>0</v>
      </c>
      <c r="L4" s="1" t="s">
        <v>133</v>
      </c>
      <c r="M4" s="1">
        <v>116</v>
      </c>
      <c r="N4" s="1">
        <v>23200000</v>
      </c>
      <c r="O4" s="1">
        <v>8</v>
      </c>
      <c r="P4" s="1">
        <v>16000000</v>
      </c>
      <c r="R4" s="1" t="s">
        <v>133</v>
      </c>
      <c r="S4">
        <v>97</v>
      </c>
      <c r="T4">
        <v>19400000</v>
      </c>
      <c r="U4">
        <v>4</v>
      </c>
      <c r="V4">
        <v>8000000</v>
      </c>
      <c r="X4" s="1" t="s">
        <v>133</v>
      </c>
      <c r="Y4">
        <v>72</v>
      </c>
      <c r="Z4">
        <v>14400000</v>
      </c>
      <c r="AA4">
        <v>6</v>
      </c>
      <c r="AB4">
        <v>12000000</v>
      </c>
      <c r="AD4" s="1" t="s">
        <v>133</v>
      </c>
      <c r="AE4">
        <v>122</v>
      </c>
      <c r="AF4">
        <v>2440000</v>
      </c>
      <c r="AG4">
        <v>3</v>
      </c>
      <c r="AH4">
        <v>600000</v>
      </c>
      <c r="AJ4" s="1" t="s">
        <v>133</v>
      </c>
      <c r="AK4">
        <v>83</v>
      </c>
      <c r="AL4">
        <v>1660000</v>
      </c>
      <c r="AM4">
        <v>7</v>
      </c>
      <c r="AN4">
        <v>1400000</v>
      </c>
      <c r="AP4" s="1" t="s">
        <v>133</v>
      </c>
      <c r="AQ4">
        <v>68</v>
      </c>
      <c r="AR4">
        <v>1360000</v>
      </c>
      <c r="AS4">
        <v>5</v>
      </c>
      <c r="AT4">
        <v>1000000</v>
      </c>
    </row>
    <row r="5" spans="1:46" x14ac:dyDescent="0.45">
      <c r="D5">
        <v>2</v>
      </c>
      <c r="E5">
        <v>4576000</v>
      </c>
      <c r="F5">
        <v>1490857.4713902064</v>
      </c>
      <c r="G5">
        <v>0.5</v>
      </c>
      <c r="H5">
        <f>E5/E4</f>
        <v>2.5226019845644982</v>
      </c>
      <c r="L5" s="1" t="s">
        <v>134</v>
      </c>
      <c r="M5" s="1">
        <v>113</v>
      </c>
      <c r="N5" s="1">
        <v>22600000</v>
      </c>
      <c r="O5" s="1">
        <v>8</v>
      </c>
      <c r="P5" s="1">
        <v>16000000</v>
      </c>
      <c r="R5" s="1" t="s">
        <v>134</v>
      </c>
      <c r="S5">
        <v>91</v>
      </c>
      <c r="T5">
        <v>18200000</v>
      </c>
      <c r="U5">
        <v>7</v>
      </c>
      <c r="V5">
        <v>14000000</v>
      </c>
      <c r="X5" s="1" t="s">
        <v>134</v>
      </c>
      <c r="Y5">
        <v>65</v>
      </c>
      <c r="Z5">
        <v>13000000</v>
      </c>
      <c r="AA5">
        <v>7</v>
      </c>
      <c r="AB5">
        <v>14000000</v>
      </c>
      <c r="AD5" s="1" t="s">
        <v>134</v>
      </c>
      <c r="AE5">
        <v>119</v>
      </c>
      <c r="AF5">
        <v>2380000</v>
      </c>
      <c r="AG5">
        <v>10</v>
      </c>
      <c r="AH5">
        <v>2000000</v>
      </c>
      <c r="AJ5" s="1" t="s">
        <v>134</v>
      </c>
      <c r="AK5">
        <v>76</v>
      </c>
      <c r="AL5">
        <v>1520000</v>
      </c>
      <c r="AM5">
        <v>9</v>
      </c>
      <c r="AN5">
        <v>1800000</v>
      </c>
      <c r="AP5" s="1" t="s">
        <v>134</v>
      </c>
      <c r="AQ5">
        <v>66</v>
      </c>
      <c r="AR5">
        <v>1320000</v>
      </c>
      <c r="AS5">
        <v>4</v>
      </c>
      <c r="AT5">
        <v>800000</v>
      </c>
    </row>
    <row r="6" spans="1:46" x14ac:dyDescent="0.45">
      <c r="D6">
        <v>3</v>
      </c>
      <c r="E6" s="1">
        <v>333500000</v>
      </c>
      <c r="F6" s="1">
        <v>16360521.589077368</v>
      </c>
      <c r="G6">
        <v>4</v>
      </c>
      <c r="L6" s="1" t="s">
        <v>137</v>
      </c>
      <c r="M6" s="1">
        <v>83</v>
      </c>
      <c r="N6" s="1">
        <v>16600000</v>
      </c>
      <c r="O6" s="1">
        <v>4</v>
      </c>
      <c r="P6" s="1">
        <v>8000000</v>
      </c>
      <c r="R6" s="1" t="s">
        <v>137</v>
      </c>
      <c r="S6">
        <v>63</v>
      </c>
      <c r="T6">
        <v>12600000</v>
      </c>
      <c r="U6">
        <v>6</v>
      </c>
      <c r="V6">
        <v>12000000</v>
      </c>
      <c r="X6" s="1" t="s">
        <v>137</v>
      </c>
      <c r="Y6">
        <v>83</v>
      </c>
      <c r="Z6">
        <v>16600000</v>
      </c>
      <c r="AA6">
        <v>5</v>
      </c>
      <c r="AB6">
        <v>10000000</v>
      </c>
      <c r="AD6" s="1" t="s">
        <v>137</v>
      </c>
      <c r="AE6">
        <v>122</v>
      </c>
      <c r="AF6">
        <v>2440000</v>
      </c>
      <c r="AG6">
        <v>4</v>
      </c>
      <c r="AH6">
        <v>800000</v>
      </c>
      <c r="AJ6" s="1" t="s">
        <v>137</v>
      </c>
      <c r="AK6">
        <v>94</v>
      </c>
      <c r="AL6">
        <v>1880000</v>
      </c>
      <c r="AM6">
        <v>2</v>
      </c>
      <c r="AN6">
        <v>400000</v>
      </c>
      <c r="AP6" s="1" t="s">
        <v>137</v>
      </c>
      <c r="AQ6">
        <v>83</v>
      </c>
      <c r="AR6">
        <v>1660000</v>
      </c>
      <c r="AS6">
        <v>5</v>
      </c>
      <c r="AT6">
        <v>1000000</v>
      </c>
    </row>
    <row r="7" spans="1:46" x14ac:dyDescent="0.45">
      <c r="D7">
        <v>4</v>
      </c>
      <c r="E7" s="1">
        <v>3935000000</v>
      </c>
      <c r="F7" s="1">
        <v>413642357.59892863</v>
      </c>
      <c r="G7">
        <v>37.5</v>
      </c>
      <c r="L7" s="1" t="s">
        <v>135</v>
      </c>
      <c r="M7" s="1">
        <v>95</v>
      </c>
      <c r="N7" s="1">
        <v>19000000</v>
      </c>
      <c r="O7" s="1">
        <v>6</v>
      </c>
      <c r="P7" s="1">
        <v>12000000</v>
      </c>
      <c r="R7" s="1" t="s">
        <v>135</v>
      </c>
      <c r="S7">
        <v>67</v>
      </c>
      <c r="T7">
        <v>13400000</v>
      </c>
      <c r="U7">
        <v>7</v>
      </c>
      <c r="V7">
        <v>14000000</v>
      </c>
      <c r="X7" s="1" t="s">
        <v>135</v>
      </c>
      <c r="Y7">
        <v>77</v>
      </c>
      <c r="Z7">
        <v>15400000</v>
      </c>
      <c r="AA7">
        <v>2</v>
      </c>
      <c r="AB7">
        <v>4000000</v>
      </c>
      <c r="AD7" s="1" t="s">
        <v>135</v>
      </c>
      <c r="AE7">
        <v>129</v>
      </c>
      <c r="AF7">
        <v>2580000</v>
      </c>
      <c r="AG7">
        <v>7</v>
      </c>
      <c r="AH7">
        <v>1400000</v>
      </c>
      <c r="AJ7" s="1" t="s">
        <v>135</v>
      </c>
      <c r="AK7">
        <v>89</v>
      </c>
      <c r="AL7">
        <v>1780000</v>
      </c>
      <c r="AM7" t="s">
        <v>83</v>
      </c>
      <c r="AN7" t="s">
        <v>80</v>
      </c>
      <c r="AP7" s="1" t="s">
        <v>135</v>
      </c>
      <c r="AQ7" t="s">
        <v>84</v>
      </c>
      <c r="AR7" t="s">
        <v>80</v>
      </c>
      <c r="AS7">
        <v>5</v>
      </c>
      <c r="AT7">
        <v>1000000</v>
      </c>
    </row>
    <row r="8" spans="1:46" x14ac:dyDescent="0.45">
      <c r="D8">
        <v>5</v>
      </c>
      <c r="E8" s="1">
        <v>3953333333.3333335</v>
      </c>
      <c r="F8" s="1">
        <v>383086877.29489714</v>
      </c>
      <c r="G8">
        <v>38</v>
      </c>
      <c r="H8">
        <f>E8/E7</f>
        <v>1.0046590427784838</v>
      </c>
      <c r="L8" s="1" t="s">
        <v>136</v>
      </c>
      <c r="M8" s="1">
        <v>97</v>
      </c>
      <c r="N8" s="1">
        <v>19400000</v>
      </c>
      <c r="O8" s="1">
        <v>15</v>
      </c>
      <c r="P8" s="1">
        <v>30000000</v>
      </c>
      <c r="R8" s="1" t="s">
        <v>136</v>
      </c>
      <c r="S8">
        <v>89</v>
      </c>
      <c r="T8">
        <v>17800000</v>
      </c>
      <c r="U8">
        <v>7</v>
      </c>
      <c r="V8">
        <v>14000000</v>
      </c>
      <c r="X8" s="1" t="s">
        <v>136</v>
      </c>
      <c r="Y8">
        <v>80</v>
      </c>
      <c r="Z8">
        <v>16000000</v>
      </c>
      <c r="AA8">
        <v>4</v>
      </c>
      <c r="AB8">
        <v>8000000</v>
      </c>
      <c r="AD8" s="1" t="s">
        <v>136</v>
      </c>
      <c r="AE8">
        <v>125</v>
      </c>
      <c r="AF8">
        <v>2500000</v>
      </c>
      <c r="AG8">
        <v>5</v>
      </c>
      <c r="AH8">
        <v>1000000</v>
      </c>
      <c r="AJ8" s="1" t="s">
        <v>136</v>
      </c>
      <c r="AK8" t="s">
        <v>85</v>
      </c>
      <c r="AL8" t="s">
        <v>80</v>
      </c>
      <c r="AM8" t="s">
        <v>82</v>
      </c>
      <c r="AN8" t="s">
        <v>80</v>
      </c>
      <c r="AP8" s="1" t="s">
        <v>136</v>
      </c>
      <c r="AQ8">
        <v>79</v>
      </c>
      <c r="AR8">
        <v>1580000</v>
      </c>
      <c r="AS8">
        <v>6</v>
      </c>
      <c r="AT8">
        <v>1200000</v>
      </c>
    </row>
    <row r="9" spans="1:46" x14ac:dyDescent="0.45">
      <c r="D9">
        <v>6</v>
      </c>
      <c r="E9" s="1">
        <v>3713333333.333333</v>
      </c>
      <c r="F9" s="1">
        <v>653775360.67232001</v>
      </c>
      <c r="G9">
        <v>38</v>
      </c>
      <c r="H9">
        <f>E9/E7</f>
        <v>0.94366793731469711</v>
      </c>
      <c r="L9" s="1" t="s">
        <v>138</v>
      </c>
      <c r="M9" s="1">
        <v>3</v>
      </c>
      <c r="N9" s="1"/>
      <c r="O9" s="1">
        <v>4</v>
      </c>
      <c r="P9" s="1"/>
      <c r="R9" s="1" t="s">
        <v>138</v>
      </c>
      <c r="S9">
        <v>3</v>
      </c>
      <c r="U9">
        <v>4</v>
      </c>
      <c r="X9" s="1" t="s">
        <v>138</v>
      </c>
      <c r="Y9">
        <v>3</v>
      </c>
      <c r="AA9">
        <v>4</v>
      </c>
      <c r="AD9" s="1" t="s">
        <v>138</v>
      </c>
      <c r="AE9">
        <v>3</v>
      </c>
      <c r="AG9">
        <v>4</v>
      </c>
      <c r="AJ9" s="1" t="s">
        <v>138</v>
      </c>
      <c r="AK9">
        <v>3</v>
      </c>
      <c r="AM9">
        <v>4</v>
      </c>
      <c r="AP9" s="1" t="s">
        <v>138</v>
      </c>
      <c r="AQ9">
        <v>3</v>
      </c>
      <c r="AS9">
        <v>4</v>
      </c>
    </row>
    <row r="10" spans="1:46" x14ac:dyDescent="0.45">
      <c r="L10" s="1" t="s">
        <v>139</v>
      </c>
      <c r="M10" s="1">
        <v>5</v>
      </c>
      <c r="N10" s="1"/>
      <c r="O10" s="1">
        <v>5</v>
      </c>
      <c r="P10" s="1"/>
      <c r="R10" s="1" t="s">
        <v>139</v>
      </c>
      <c r="S10">
        <v>5</v>
      </c>
      <c r="U10">
        <v>5</v>
      </c>
      <c r="X10" s="1" t="s">
        <v>139</v>
      </c>
      <c r="Y10">
        <v>5</v>
      </c>
      <c r="AA10">
        <v>5</v>
      </c>
      <c r="AD10" s="1" t="s">
        <v>139</v>
      </c>
      <c r="AE10">
        <v>5</v>
      </c>
      <c r="AG10">
        <v>5</v>
      </c>
      <c r="AJ10" s="1" t="s">
        <v>139</v>
      </c>
      <c r="AK10">
        <v>5</v>
      </c>
      <c r="AM10">
        <v>5</v>
      </c>
      <c r="AP10" s="1" t="s">
        <v>139</v>
      </c>
      <c r="AQ10">
        <v>5</v>
      </c>
      <c r="AS10">
        <v>5</v>
      </c>
    </row>
    <row r="11" spans="1:46" x14ac:dyDescent="0.45">
      <c r="D11" t="s">
        <v>126</v>
      </c>
      <c r="E11" t="s">
        <v>122</v>
      </c>
      <c r="F11" t="s">
        <v>5</v>
      </c>
      <c r="G11" t="s">
        <v>2</v>
      </c>
      <c r="H11" t="s">
        <v>130</v>
      </c>
      <c r="L11" s="1" t="s">
        <v>6</v>
      </c>
      <c r="M11" s="1">
        <v>7810147.2457310306</v>
      </c>
      <c r="N11" s="1" t="s">
        <v>2</v>
      </c>
      <c r="O11" s="1">
        <v>0</v>
      </c>
      <c r="P11" s="1"/>
      <c r="R11" s="1" t="s">
        <v>6</v>
      </c>
      <c r="S11">
        <v>3599111.0013446375</v>
      </c>
      <c r="T11" s="1" t="s">
        <v>2</v>
      </c>
      <c r="U11">
        <v>1.6666666666666666E-2</v>
      </c>
      <c r="X11" s="1" t="s">
        <v>6</v>
      </c>
      <c r="Y11">
        <v>3667369.6295846701</v>
      </c>
      <c r="Z11" s="1" t="s">
        <v>2</v>
      </c>
      <c r="AA11">
        <v>1.6666666666666666E-2</v>
      </c>
      <c r="AD11" s="1" t="s">
        <v>6</v>
      </c>
      <c r="AE11">
        <v>500975.04927890375</v>
      </c>
      <c r="AF11" s="1" t="s">
        <v>2</v>
      </c>
      <c r="AG11">
        <v>0</v>
      </c>
      <c r="AJ11" s="1" t="s">
        <v>6</v>
      </c>
      <c r="AK11">
        <v>603959.15976717055</v>
      </c>
      <c r="AL11" s="1" t="s">
        <v>2</v>
      </c>
      <c r="AM11">
        <v>1.6666666666666666E-2</v>
      </c>
      <c r="AP11" s="1" t="s">
        <v>6</v>
      </c>
      <c r="AQ11">
        <v>191311.26469708988</v>
      </c>
      <c r="AR11" s="1" t="s">
        <v>2</v>
      </c>
      <c r="AS11">
        <v>1.6666666666666666E-2</v>
      </c>
    </row>
    <row r="12" spans="1:46" x14ac:dyDescent="0.45">
      <c r="D12">
        <v>0</v>
      </c>
      <c r="E12">
        <v>1814000</v>
      </c>
      <c r="F12">
        <v>500975.04927890375</v>
      </c>
      <c r="G12">
        <v>0</v>
      </c>
      <c r="L12" s="1" t="s">
        <v>140</v>
      </c>
      <c r="M12" s="1">
        <v>18280000</v>
      </c>
      <c r="N12" s="1" t="s">
        <v>141</v>
      </c>
      <c r="O12" s="1">
        <v>0</v>
      </c>
      <c r="P12" s="1"/>
      <c r="R12" s="1" t="s">
        <v>140</v>
      </c>
      <c r="S12">
        <v>14340000</v>
      </c>
      <c r="T12" s="1" t="s">
        <v>141</v>
      </c>
      <c r="U12">
        <v>25</v>
      </c>
      <c r="X12" s="1" t="s">
        <v>140</v>
      </c>
      <c r="Y12">
        <v>12340000</v>
      </c>
      <c r="Z12" s="1" t="s">
        <v>141</v>
      </c>
      <c r="AA12">
        <v>50</v>
      </c>
      <c r="AD12" s="1" t="s">
        <v>140</v>
      </c>
      <c r="AE12">
        <v>1814000</v>
      </c>
      <c r="AF12" s="1" t="s">
        <v>141</v>
      </c>
      <c r="AG12">
        <v>0</v>
      </c>
      <c r="AJ12" s="1" t="s">
        <v>140</v>
      </c>
      <c r="AK12">
        <v>1455000</v>
      </c>
      <c r="AL12" s="1" t="s">
        <v>141</v>
      </c>
      <c r="AM12">
        <v>25</v>
      </c>
      <c r="AP12" s="1" t="s">
        <v>140</v>
      </c>
      <c r="AQ12">
        <v>1240000</v>
      </c>
      <c r="AR12" s="1" t="s">
        <v>141</v>
      </c>
      <c r="AS12">
        <v>50</v>
      </c>
    </row>
    <row r="13" spans="1:46" x14ac:dyDescent="0.45">
      <c r="D13">
        <v>1</v>
      </c>
      <c r="E13">
        <v>1455000</v>
      </c>
      <c r="F13">
        <v>603959.15976717055</v>
      </c>
      <c r="G13">
        <v>1.6666666666666666E-2</v>
      </c>
      <c r="L13" s="1"/>
      <c r="M13" s="1"/>
      <c r="N13" s="1"/>
      <c r="O13" s="1"/>
      <c r="P13" s="1"/>
    </row>
    <row r="14" spans="1:46" x14ac:dyDescent="0.45">
      <c r="D14">
        <v>2</v>
      </c>
      <c r="E14">
        <v>2133333.333333333</v>
      </c>
      <c r="F14">
        <v>534249.21359064465</v>
      </c>
      <c r="G14">
        <v>0.5</v>
      </c>
      <c r="H14">
        <f>E14/E12</f>
        <v>1.1760382212421903</v>
      </c>
      <c r="L14" s="1"/>
      <c r="M14" s="1" t="s">
        <v>131</v>
      </c>
      <c r="N14" s="1" t="s">
        <v>132</v>
      </c>
      <c r="O14" s="1" t="s">
        <v>131</v>
      </c>
      <c r="P14" s="1" t="s">
        <v>132</v>
      </c>
      <c r="S14" s="1" t="s">
        <v>131</v>
      </c>
      <c r="T14" s="1" t="s">
        <v>132</v>
      </c>
      <c r="U14" s="1" t="s">
        <v>131</v>
      </c>
      <c r="V14" s="1" t="s">
        <v>132</v>
      </c>
      <c r="Y14" s="1" t="s">
        <v>131</v>
      </c>
      <c r="Z14" s="1" t="s">
        <v>132</v>
      </c>
      <c r="AA14" s="1" t="s">
        <v>131</v>
      </c>
      <c r="AB14" s="1" t="s">
        <v>132</v>
      </c>
      <c r="AE14" s="1" t="s">
        <v>131</v>
      </c>
      <c r="AF14" s="1" t="s">
        <v>132</v>
      </c>
      <c r="AG14" s="1" t="s">
        <v>131</v>
      </c>
      <c r="AH14" s="1" t="s">
        <v>132</v>
      </c>
      <c r="AK14" s="1" t="s">
        <v>131</v>
      </c>
      <c r="AL14" s="1" t="s">
        <v>132</v>
      </c>
      <c r="AM14" s="1" t="s">
        <v>131</v>
      </c>
      <c r="AN14" s="1" t="s">
        <v>132</v>
      </c>
      <c r="AQ14" s="1" t="s">
        <v>131</v>
      </c>
      <c r="AR14" s="1" t="s">
        <v>132</v>
      </c>
      <c r="AS14" s="1" t="s">
        <v>131</v>
      </c>
      <c r="AT14" s="1" t="s">
        <v>132</v>
      </c>
    </row>
    <row r="15" spans="1:46" x14ac:dyDescent="0.45">
      <c r="D15">
        <v>3</v>
      </c>
      <c r="E15">
        <v>322000000</v>
      </c>
      <c r="F15">
        <v>26474306.202219706</v>
      </c>
      <c r="G15">
        <v>4</v>
      </c>
      <c r="L15" s="1" t="s">
        <v>133</v>
      </c>
      <c r="M15" s="1">
        <v>158</v>
      </c>
      <c r="N15" s="1">
        <v>316000000</v>
      </c>
      <c r="O15" s="1">
        <v>171</v>
      </c>
      <c r="P15" s="1">
        <v>342000000</v>
      </c>
      <c r="R15" s="1" t="s">
        <v>133</v>
      </c>
      <c r="S15">
        <v>148</v>
      </c>
      <c r="T15">
        <v>296000000</v>
      </c>
      <c r="U15">
        <v>137</v>
      </c>
      <c r="V15">
        <v>274000000</v>
      </c>
      <c r="X15" s="1" t="s">
        <v>133</v>
      </c>
      <c r="Y15">
        <v>147</v>
      </c>
      <c r="Z15">
        <v>294000000</v>
      </c>
      <c r="AA15">
        <v>126</v>
      </c>
      <c r="AB15">
        <v>252000000</v>
      </c>
      <c r="AD15" s="1" t="s">
        <v>133</v>
      </c>
      <c r="AE15">
        <v>205</v>
      </c>
      <c r="AF15">
        <v>4100000</v>
      </c>
      <c r="AG15">
        <v>26</v>
      </c>
      <c r="AH15">
        <v>5200000</v>
      </c>
      <c r="AJ15" s="1" t="s">
        <v>133</v>
      </c>
      <c r="AK15">
        <v>109</v>
      </c>
      <c r="AL15">
        <v>2180000</v>
      </c>
      <c r="AM15">
        <v>6</v>
      </c>
      <c r="AN15">
        <v>1200000</v>
      </c>
      <c r="AP15" s="1" t="s">
        <v>133</v>
      </c>
      <c r="AQ15">
        <v>74</v>
      </c>
      <c r="AR15">
        <v>1480000</v>
      </c>
      <c r="AS15">
        <v>7</v>
      </c>
      <c r="AT15">
        <v>1400000</v>
      </c>
    </row>
    <row r="16" spans="1:46" x14ac:dyDescent="0.45">
      <c r="D16">
        <v>4</v>
      </c>
      <c r="E16">
        <v>3740000000</v>
      </c>
      <c r="F16">
        <v>485798312.05964476</v>
      </c>
      <c r="G16">
        <v>37.5</v>
      </c>
      <c r="L16" s="1" t="s">
        <v>134</v>
      </c>
      <c r="M16" s="1">
        <v>161</v>
      </c>
      <c r="N16" s="1">
        <v>322000000</v>
      </c>
      <c r="O16" s="1">
        <v>185</v>
      </c>
      <c r="P16" s="1">
        <v>370000000</v>
      </c>
      <c r="R16" s="1" t="s">
        <v>134</v>
      </c>
      <c r="S16">
        <v>174</v>
      </c>
      <c r="T16">
        <v>348000000</v>
      </c>
      <c r="U16">
        <v>133</v>
      </c>
      <c r="V16">
        <v>266000000</v>
      </c>
      <c r="X16" s="1" t="s">
        <v>134</v>
      </c>
      <c r="Y16">
        <v>144</v>
      </c>
      <c r="Z16">
        <v>288000000</v>
      </c>
      <c r="AA16">
        <v>134</v>
      </c>
      <c r="AB16">
        <v>268000000</v>
      </c>
      <c r="AD16" s="1" t="s">
        <v>134</v>
      </c>
      <c r="AE16">
        <v>198</v>
      </c>
      <c r="AF16">
        <v>3960000</v>
      </c>
      <c r="AG16">
        <v>20</v>
      </c>
      <c r="AH16">
        <v>4000000</v>
      </c>
      <c r="AJ16" s="1" t="s">
        <v>134</v>
      </c>
      <c r="AK16" t="s">
        <v>86</v>
      </c>
      <c r="AL16" t="s">
        <v>80</v>
      </c>
      <c r="AM16">
        <v>10</v>
      </c>
      <c r="AN16">
        <v>2000000</v>
      </c>
      <c r="AP16" s="1" t="s">
        <v>134</v>
      </c>
      <c r="AQ16">
        <v>94</v>
      </c>
      <c r="AR16">
        <v>1880000</v>
      </c>
      <c r="AS16">
        <v>8</v>
      </c>
      <c r="AT16">
        <v>1600000</v>
      </c>
    </row>
    <row r="17" spans="4:46" x14ac:dyDescent="0.45">
      <c r="D17">
        <v>5</v>
      </c>
      <c r="E17">
        <v>3546666666.6666665</v>
      </c>
      <c r="F17">
        <v>690957467.73750281</v>
      </c>
      <c r="G17">
        <v>38</v>
      </c>
      <c r="H17">
        <f>E17/E16</f>
        <v>0.94830659536541884</v>
      </c>
      <c r="L17" s="1" t="s">
        <v>137</v>
      </c>
      <c r="M17" s="1"/>
      <c r="N17" s="1" t="s">
        <v>80</v>
      </c>
      <c r="O17" s="1">
        <v>166</v>
      </c>
      <c r="P17" s="1">
        <v>332000000</v>
      </c>
      <c r="R17" s="1" t="s">
        <v>137</v>
      </c>
      <c r="T17" t="s">
        <v>80</v>
      </c>
      <c r="U17">
        <v>139</v>
      </c>
      <c r="V17">
        <v>278000000</v>
      </c>
      <c r="X17" s="1" t="s">
        <v>137</v>
      </c>
      <c r="Y17">
        <v>155</v>
      </c>
      <c r="Z17">
        <v>310000000</v>
      </c>
      <c r="AB17" t="s">
        <v>80</v>
      </c>
      <c r="AD17" s="1" t="s">
        <v>137</v>
      </c>
      <c r="AE17">
        <v>195</v>
      </c>
      <c r="AF17">
        <v>3900000</v>
      </c>
      <c r="AG17">
        <v>23</v>
      </c>
      <c r="AH17">
        <v>4600000</v>
      </c>
      <c r="AJ17" s="1" t="s">
        <v>137</v>
      </c>
      <c r="AK17">
        <v>98</v>
      </c>
      <c r="AL17">
        <v>1960000</v>
      </c>
      <c r="AM17">
        <v>11</v>
      </c>
      <c r="AN17">
        <v>2200000</v>
      </c>
      <c r="AP17" s="1" t="s">
        <v>137</v>
      </c>
      <c r="AQ17">
        <v>103</v>
      </c>
      <c r="AR17">
        <v>2060000</v>
      </c>
      <c r="AS17">
        <v>7</v>
      </c>
      <c r="AT17">
        <v>1400000</v>
      </c>
    </row>
    <row r="18" spans="4:46" x14ac:dyDescent="0.45">
      <c r="D18">
        <v>6</v>
      </c>
      <c r="E18">
        <v>2868000000</v>
      </c>
      <c r="F18">
        <v>426970724.99177265</v>
      </c>
      <c r="G18">
        <v>38</v>
      </c>
      <c r="H18">
        <f>E18/E16</f>
        <v>0.76684491978609626</v>
      </c>
      <c r="L18" s="1" t="s">
        <v>135</v>
      </c>
      <c r="M18" s="1"/>
      <c r="N18" s="1" t="s">
        <v>80</v>
      </c>
      <c r="O18" s="1"/>
      <c r="P18" s="1" t="s">
        <v>80</v>
      </c>
      <c r="R18" s="1" t="s">
        <v>135</v>
      </c>
      <c r="T18" t="s">
        <v>80</v>
      </c>
      <c r="V18" t="s">
        <v>80</v>
      </c>
      <c r="X18" s="1" t="s">
        <v>135</v>
      </c>
      <c r="Z18" t="s">
        <v>80</v>
      </c>
      <c r="AB18" t="s">
        <v>80</v>
      </c>
      <c r="AD18" s="1" t="s">
        <v>135</v>
      </c>
      <c r="AE18">
        <v>205</v>
      </c>
      <c r="AF18">
        <v>4100000</v>
      </c>
      <c r="AG18">
        <v>40</v>
      </c>
      <c r="AH18">
        <v>8000000</v>
      </c>
      <c r="AJ18" s="1" t="s">
        <v>135</v>
      </c>
      <c r="AK18">
        <v>115</v>
      </c>
      <c r="AL18">
        <v>2300000</v>
      </c>
      <c r="AM18">
        <v>13</v>
      </c>
      <c r="AN18">
        <v>2600000</v>
      </c>
      <c r="AP18" s="1" t="s">
        <v>135</v>
      </c>
      <c r="AQ18" t="s">
        <v>85</v>
      </c>
      <c r="AR18" t="s">
        <v>80</v>
      </c>
      <c r="AS18" t="s">
        <v>83</v>
      </c>
      <c r="AT18" t="s">
        <v>80</v>
      </c>
    </row>
    <row r="19" spans="4:46" x14ac:dyDescent="0.45">
      <c r="L19" s="1" t="s">
        <v>136</v>
      </c>
      <c r="M19" s="1"/>
      <c r="N19" s="1" t="s">
        <v>80</v>
      </c>
      <c r="O19" s="1"/>
      <c r="P19" s="1" t="s">
        <v>80</v>
      </c>
      <c r="R19" s="1" t="s">
        <v>136</v>
      </c>
      <c r="T19" t="s">
        <v>80</v>
      </c>
      <c r="V19" t="s">
        <v>80</v>
      </c>
      <c r="X19" s="1" t="s">
        <v>136</v>
      </c>
      <c r="Z19" t="s">
        <v>80</v>
      </c>
      <c r="AB19" t="s">
        <v>80</v>
      </c>
      <c r="AD19" s="1" t="s">
        <v>136</v>
      </c>
      <c r="AE19">
        <v>195</v>
      </c>
      <c r="AF19">
        <v>3900000</v>
      </c>
      <c r="AG19">
        <v>20</v>
      </c>
      <c r="AH19">
        <v>4000000</v>
      </c>
      <c r="AJ19" s="1" t="s">
        <v>136</v>
      </c>
      <c r="AK19" t="s">
        <v>87</v>
      </c>
      <c r="AL19" t="s">
        <v>80</v>
      </c>
      <c r="AM19">
        <v>13</v>
      </c>
      <c r="AN19">
        <v>2600000</v>
      </c>
      <c r="AP19" s="1" t="s">
        <v>136</v>
      </c>
      <c r="AQ19">
        <v>83</v>
      </c>
      <c r="AR19">
        <v>1660000</v>
      </c>
      <c r="AS19">
        <v>9</v>
      </c>
      <c r="AT19">
        <v>1800000</v>
      </c>
    </row>
    <row r="20" spans="4:46" x14ac:dyDescent="0.45">
      <c r="D20" t="s">
        <v>127</v>
      </c>
      <c r="E20" t="s">
        <v>122</v>
      </c>
      <c r="F20" t="s">
        <v>5</v>
      </c>
      <c r="G20" t="s">
        <v>2</v>
      </c>
      <c r="H20" t="s">
        <v>130</v>
      </c>
      <c r="L20" s="1" t="s">
        <v>138</v>
      </c>
      <c r="M20" s="1">
        <v>4</v>
      </c>
      <c r="N20" s="1"/>
      <c r="O20" s="1">
        <v>4</v>
      </c>
      <c r="P20" s="1"/>
      <c r="R20" s="1" t="s">
        <v>138</v>
      </c>
      <c r="S20">
        <v>4</v>
      </c>
      <c r="U20">
        <v>4</v>
      </c>
      <c r="X20" s="1" t="s">
        <v>138</v>
      </c>
      <c r="Y20">
        <v>4</v>
      </c>
      <c r="AA20">
        <v>4</v>
      </c>
      <c r="AD20" s="1" t="s">
        <v>138</v>
      </c>
      <c r="AE20">
        <v>3</v>
      </c>
      <c r="AG20">
        <v>4</v>
      </c>
      <c r="AJ20" s="1" t="s">
        <v>138</v>
      </c>
      <c r="AK20">
        <v>3</v>
      </c>
      <c r="AM20">
        <v>4</v>
      </c>
      <c r="AP20" s="1" t="s">
        <v>138</v>
      </c>
      <c r="AQ20">
        <v>3</v>
      </c>
      <c r="AS20">
        <v>4</v>
      </c>
    </row>
    <row r="21" spans="4:46" x14ac:dyDescent="0.45">
      <c r="D21">
        <v>0</v>
      </c>
      <c r="E21">
        <v>1814000</v>
      </c>
      <c r="F21">
        <v>500975.04927890375</v>
      </c>
      <c r="G21">
        <v>0</v>
      </c>
      <c r="L21" s="1" t="s">
        <v>139</v>
      </c>
      <c r="M21" s="1">
        <v>5</v>
      </c>
      <c r="N21" s="1"/>
      <c r="O21" s="1">
        <v>5</v>
      </c>
      <c r="P21" s="1"/>
      <c r="R21" s="1" t="s">
        <v>139</v>
      </c>
      <c r="S21">
        <v>5</v>
      </c>
      <c r="U21">
        <v>5</v>
      </c>
      <c r="X21" s="1" t="s">
        <v>139</v>
      </c>
      <c r="Y21">
        <v>5</v>
      </c>
      <c r="AA21">
        <v>5</v>
      </c>
      <c r="AD21" s="1" t="s">
        <v>139</v>
      </c>
      <c r="AE21">
        <v>5</v>
      </c>
      <c r="AG21">
        <v>5</v>
      </c>
      <c r="AJ21" s="1" t="s">
        <v>139</v>
      </c>
      <c r="AK21">
        <v>5</v>
      </c>
      <c r="AM21">
        <v>5</v>
      </c>
      <c r="AP21" s="1" t="s">
        <v>139</v>
      </c>
      <c r="AQ21">
        <v>5</v>
      </c>
      <c r="AS21">
        <v>5</v>
      </c>
    </row>
    <row r="22" spans="4:46" x14ac:dyDescent="0.45">
      <c r="D22">
        <v>1</v>
      </c>
      <c r="E22">
        <v>1240000</v>
      </c>
      <c r="F22">
        <v>191311.26469708988</v>
      </c>
      <c r="G22">
        <v>1.6666666666666666E-2</v>
      </c>
      <c r="L22" s="1" t="s">
        <v>6</v>
      </c>
      <c r="M22" s="1">
        <v>16360521.589077368</v>
      </c>
      <c r="N22" s="1" t="s">
        <v>2</v>
      </c>
      <c r="O22" s="1">
        <v>4</v>
      </c>
      <c r="P22" s="1"/>
      <c r="R22" s="1" t="s">
        <v>6</v>
      </c>
      <c r="S22">
        <v>26474306.202219706</v>
      </c>
      <c r="T22" s="1" t="s">
        <v>2</v>
      </c>
      <c r="U22">
        <v>4</v>
      </c>
      <c r="X22" s="1" t="s">
        <v>6</v>
      </c>
      <c r="Y22">
        <v>12256517.540566824</v>
      </c>
      <c r="Z22" s="1" t="s">
        <v>2</v>
      </c>
      <c r="AA22">
        <v>4</v>
      </c>
      <c r="AD22" s="1" t="s">
        <v>6</v>
      </c>
      <c r="AE22">
        <v>1490857.4713902064</v>
      </c>
      <c r="AF22" s="1" t="s">
        <v>2</v>
      </c>
      <c r="AG22">
        <v>0.5</v>
      </c>
      <c r="AJ22" s="1" t="s">
        <v>6</v>
      </c>
      <c r="AK22">
        <v>534249.21359064465</v>
      </c>
      <c r="AL22" s="1" t="s">
        <v>2</v>
      </c>
      <c r="AM22">
        <v>0.5</v>
      </c>
      <c r="AP22" s="1" t="s">
        <v>6</v>
      </c>
      <c r="AQ22">
        <v>274954.54169735039</v>
      </c>
      <c r="AR22" s="1" t="s">
        <v>2</v>
      </c>
      <c r="AS22">
        <v>0.5</v>
      </c>
    </row>
    <row r="23" spans="4:46" x14ac:dyDescent="0.45">
      <c r="D23">
        <v>2</v>
      </c>
      <c r="E23">
        <v>1660000</v>
      </c>
      <c r="F23">
        <v>274954.54169735039</v>
      </c>
      <c r="G23">
        <v>0.5</v>
      </c>
      <c r="H23">
        <f>E23/E21</f>
        <v>0.91510474090407934</v>
      </c>
      <c r="L23" s="1" t="s">
        <v>140</v>
      </c>
      <c r="M23" s="1">
        <v>333500000</v>
      </c>
      <c r="N23" s="1" t="s">
        <v>141</v>
      </c>
      <c r="O23" s="1">
        <v>0</v>
      </c>
      <c r="P23" s="1"/>
      <c r="R23" s="1" t="s">
        <v>140</v>
      </c>
      <c r="S23">
        <v>322000000</v>
      </c>
      <c r="T23" s="1" t="s">
        <v>141</v>
      </c>
      <c r="U23">
        <v>25</v>
      </c>
      <c r="X23" s="1" t="s">
        <v>140</v>
      </c>
      <c r="Y23">
        <v>278666666.66666663</v>
      </c>
      <c r="Z23" s="1" t="s">
        <v>141</v>
      </c>
      <c r="AA23">
        <v>50</v>
      </c>
      <c r="AD23" s="1" t="s">
        <v>140</v>
      </c>
      <c r="AE23">
        <v>4576000</v>
      </c>
      <c r="AF23" s="1" t="s">
        <v>141</v>
      </c>
      <c r="AG23">
        <v>0</v>
      </c>
      <c r="AJ23" s="1" t="s">
        <v>140</v>
      </c>
      <c r="AK23">
        <v>2133333.333333333</v>
      </c>
      <c r="AL23" s="1" t="s">
        <v>141</v>
      </c>
      <c r="AM23">
        <v>25</v>
      </c>
      <c r="AP23" s="1" t="s">
        <v>140</v>
      </c>
      <c r="AQ23">
        <v>1660000</v>
      </c>
      <c r="AR23" s="1" t="s">
        <v>141</v>
      </c>
      <c r="AS23">
        <v>50</v>
      </c>
    </row>
    <row r="24" spans="4:46" x14ac:dyDescent="0.45">
      <c r="D24">
        <v>3</v>
      </c>
      <c r="E24">
        <v>278666666.66666663</v>
      </c>
      <c r="F24">
        <v>12256517.540566824</v>
      </c>
      <c r="G24">
        <v>4</v>
      </c>
      <c r="L24" s="1"/>
      <c r="M24" s="1"/>
      <c r="N24" s="1"/>
      <c r="O24" s="1"/>
      <c r="P24" s="1"/>
    </row>
    <row r="25" spans="4:46" x14ac:dyDescent="0.45">
      <c r="D25">
        <v>4</v>
      </c>
      <c r="E25">
        <v>3542500000</v>
      </c>
      <c r="F25">
        <v>564867241.03987479</v>
      </c>
      <c r="G25">
        <v>37.5</v>
      </c>
      <c r="L25" s="1"/>
      <c r="M25" s="1" t="s">
        <v>131</v>
      </c>
      <c r="N25" s="1" t="s">
        <v>132</v>
      </c>
      <c r="O25" s="1" t="s">
        <v>131</v>
      </c>
      <c r="P25" s="1" t="s">
        <v>132</v>
      </c>
      <c r="S25" s="1" t="s">
        <v>131</v>
      </c>
      <c r="T25" s="1" t="s">
        <v>132</v>
      </c>
      <c r="U25" s="1" t="s">
        <v>131</v>
      </c>
      <c r="V25" s="1" t="s">
        <v>132</v>
      </c>
      <c r="Y25" s="1" t="s">
        <v>131</v>
      </c>
      <c r="Z25" s="1" t="s">
        <v>132</v>
      </c>
      <c r="AA25" s="1" t="s">
        <v>131</v>
      </c>
      <c r="AB25" s="1" t="s">
        <v>132</v>
      </c>
    </row>
    <row r="26" spans="4:46" x14ac:dyDescent="0.45">
      <c r="D26">
        <v>5</v>
      </c>
      <c r="E26">
        <v>3395000000</v>
      </c>
      <c r="F26">
        <v>753724087.44845092</v>
      </c>
      <c r="G26">
        <v>38</v>
      </c>
      <c r="H26">
        <f>E26/E25</f>
        <v>0.95836273817925199</v>
      </c>
      <c r="L26" s="1" t="s">
        <v>133</v>
      </c>
      <c r="M26" s="1">
        <v>129</v>
      </c>
      <c r="N26" s="1">
        <v>2580000000</v>
      </c>
      <c r="O26" s="1">
        <v>25</v>
      </c>
      <c r="P26" s="1">
        <v>5000000000</v>
      </c>
      <c r="R26" s="1" t="s">
        <v>133</v>
      </c>
      <c r="S26" t="s">
        <v>73</v>
      </c>
      <c r="T26" t="s">
        <v>80</v>
      </c>
      <c r="U26">
        <v>21</v>
      </c>
      <c r="V26">
        <v>4200000000</v>
      </c>
      <c r="X26" s="1" t="s">
        <v>133</v>
      </c>
      <c r="Y26" t="s">
        <v>74</v>
      </c>
      <c r="Z26" t="s">
        <v>80</v>
      </c>
      <c r="AA26">
        <v>25</v>
      </c>
      <c r="AB26">
        <v>5000000000</v>
      </c>
    </row>
    <row r="27" spans="4:46" x14ac:dyDescent="0.45">
      <c r="D27">
        <v>6</v>
      </c>
      <c r="E27">
        <v>3282500000</v>
      </c>
      <c r="F27">
        <v>359130895.35711068</v>
      </c>
      <c r="G27">
        <v>38</v>
      </c>
      <c r="H27">
        <f>E27/E25</f>
        <v>0.92660550458715596</v>
      </c>
      <c r="L27" s="1" t="s">
        <v>134</v>
      </c>
      <c r="M27" s="1">
        <v>131</v>
      </c>
      <c r="N27" s="1">
        <v>2620000000</v>
      </c>
      <c r="O27" s="1">
        <v>24</v>
      </c>
      <c r="P27" s="1">
        <v>4800000000</v>
      </c>
      <c r="R27" s="1" t="s">
        <v>134</v>
      </c>
      <c r="S27">
        <v>128</v>
      </c>
      <c r="T27">
        <v>2560000000</v>
      </c>
      <c r="U27">
        <v>25</v>
      </c>
      <c r="V27">
        <v>5000000000</v>
      </c>
      <c r="X27" s="1" t="s">
        <v>134</v>
      </c>
      <c r="Y27">
        <v>134</v>
      </c>
      <c r="Z27">
        <v>2680000000</v>
      </c>
      <c r="AA27">
        <v>20</v>
      </c>
      <c r="AB27">
        <v>4000000000</v>
      </c>
    </row>
    <row r="28" spans="4:46" x14ac:dyDescent="0.45">
      <c r="L28" s="1" t="s">
        <v>137</v>
      </c>
      <c r="M28" s="1" t="s">
        <v>65</v>
      </c>
      <c r="N28" s="1" t="s">
        <v>80</v>
      </c>
      <c r="O28" s="1" t="s">
        <v>66</v>
      </c>
      <c r="P28" s="1" t="s">
        <v>80</v>
      </c>
      <c r="R28" s="1" t="s">
        <v>137</v>
      </c>
      <c r="S28">
        <v>125</v>
      </c>
      <c r="T28">
        <v>2500000000</v>
      </c>
      <c r="U28">
        <v>28</v>
      </c>
      <c r="V28">
        <v>5600000000</v>
      </c>
      <c r="X28" s="1" t="s">
        <v>137</v>
      </c>
      <c r="Y28">
        <v>129</v>
      </c>
      <c r="Z28">
        <v>2580000000</v>
      </c>
      <c r="AA28">
        <v>21</v>
      </c>
      <c r="AB28">
        <v>4200000000</v>
      </c>
      <c r="AE28">
        <f>AE12/M12</f>
        <v>9.9234135667396056E-2</v>
      </c>
      <c r="AK28">
        <f>AK12/S12</f>
        <v>0.10146443514644352</v>
      </c>
      <c r="AQ28">
        <f t="shared" ref="AQ28" si="0">AQ12/Y12</f>
        <v>0.10048622366288493</v>
      </c>
    </row>
    <row r="29" spans="4:46" x14ac:dyDescent="0.45">
      <c r="L29" s="1" t="s">
        <v>135</v>
      </c>
      <c r="M29" s="1">
        <v>127</v>
      </c>
      <c r="N29" s="1">
        <v>2540000000</v>
      </c>
      <c r="O29" s="1">
        <v>29</v>
      </c>
      <c r="P29" s="1">
        <v>5800000000</v>
      </c>
      <c r="R29" s="1" t="s">
        <v>135</v>
      </c>
      <c r="S29">
        <v>131</v>
      </c>
      <c r="T29">
        <v>2620000000</v>
      </c>
      <c r="U29">
        <v>26</v>
      </c>
      <c r="V29">
        <v>5200000000</v>
      </c>
      <c r="X29" s="1" t="s">
        <v>135</v>
      </c>
      <c r="Y29">
        <v>127</v>
      </c>
      <c r="Z29">
        <v>2540000000</v>
      </c>
      <c r="AA29">
        <v>19</v>
      </c>
      <c r="AB29">
        <v>3800000000</v>
      </c>
    </row>
    <row r="30" spans="4:46" x14ac:dyDescent="0.45">
      <c r="L30" s="1" t="s">
        <v>136</v>
      </c>
      <c r="M30" s="1">
        <v>127</v>
      </c>
      <c r="N30" s="1">
        <v>2540000000</v>
      </c>
      <c r="O30" s="1">
        <v>28</v>
      </c>
      <c r="P30" s="1">
        <v>5600000000</v>
      </c>
      <c r="R30" s="1" t="s">
        <v>136</v>
      </c>
      <c r="S30" t="s">
        <v>65</v>
      </c>
      <c r="T30" t="s">
        <v>80</v>
      </c>
      <c r="U30">
        <v>23</v>
      </c>
      <c r="V30">
        <v>4600000000</v>
      </c>
      <c r="X30" s="1" t="s">
        <v>136</v>
      </c>
      <c r="Y30">
        <v>139</v>
      </c>
      <c r="Z30">
        <v>2780000000</v>
      </c>
      <c r="AA30">
        <v>26</v>
      </c>
      <c r="AB30">
        <v>5200000000</v>
      </c>
    </row>
    <row r="31" spans="4:46" x14ac:dyDescent="0.45">
      <c r="L31" s="1" t="s">
        <v>138</v>
      </c>
      <c r="M31" s="1">
        <v>5</v>
      </c>
      <c r="N31" s="1"/>
      <c r="O31" s="1">
        <v>6</v>
      </c>
      <c r="P31" s="1"/>
      <c r="R31" s="1" t="s">
        <v>138</v>
      </c>
      <c r="S31">
        <v>5</v>
      </c>
      <c r="U31">
        <v>6</v>
      </c>
      <c r="X31" s="1" t="s">
        <v>138</v>
      </c>
      <c r="Y31">
        <v>5</v>
      </c>
      <c r="AA31">
        <v>6</v>
      </c>
    </row>
    <row r="32" spans="4:46" x14ac:dyDescent="0.45">
      <c r="L32" s="1" t="s">
        <v>139</v>
      </c>
      <c r="M32" s="1">
        <v>5</v>
      </c>
      <c r="N32" s="1"/>
      <c r="O32" s="1">
        <v>5</v>
      </c>
      <c r="P32" s="1"/>
      <c r="R32" s="1" t="s">
        <v>139</v>
      </c>
      <c r="S32">
        <v>5</v>
      </c>
      <c r="U32">
        <v>5</v>
      </c>
      <c r="X32" s="1" t="s">
        <v>139</v>
      </c>
      <c r="Y32">
        <v>5</v>
      </c>
      <c r="AA32">
        <v>5</v>
      </c>
    </row>
    <row r="33" spans="12:28" x14ac:dyDescent="0.45">
      <c r="L33" s="1" t="s">
        <v>6</v>
      </c>
      <c r="M33" s="1">
        <v>413642357.59892863</v>
      </c>
      <c r="N33" s="1" t="s">
        <v>2</v>
      </c>
      <c r="O33" s="1">
        <v>37.5</v>
      </c>
      <c r="P33" s="1"/>
      <c r="R33" s="1" t="s">
        <v>6</v>
      </c>
      <c r="S33">
        <v>485798312.05964476</v>
      </c>
      <c r="T33" s="1" t="s">
        <v>2</v>
      </c>
      <c r="U33">
        <v>37.5</v>
      </c>
      <c r="X33" s="1" t="s">
        <v>6</v>
      </c>
      <c r="Y33">
        <v>564867241.03987479</v>
      </c>
      <c r="Z33" s="1" t="s">
        <v>2</v>
      </c>
      <c r="AA33">
        <v>37.5</v>
      </c>
    </row>
    <row r="34" spans="12:28" x14ac:dyDescent="0.45">
      <c r="L34" s="1" t="s">
        <v>140</v>
      </c>
      <c r="M34" s="1">
        <v>3935000000</v>
      </c>
      <c r="N34" s="1" t="s">
        <v>141</v>
      </c>
      <c r="O34" s="1">
        <v>0</v>
      </c>
      <c r="P34" s="1"/>
      <c r="R34" s="1" t="s">
        <v>140</v>
      </c>
      <c r="S34">
        <v>3740000000</v>
      </c>
      <c r="T34" s="1" t="s">
        <v>141</v>
      </c>
      <c r="U34">
        <v>25</v>
      </c>
      <c r="X34" s="1" t="s">
        <v>140</v>
      </c>
      <c r="Y34">
        <v>3542500000</v>
      </c>
      <c r="Z34" s="1" t="s">
        <v>141</v>
      </c>
      <c r="AA34">
        <v>50</v>
      </c>
    </row>
    <row r="35" spans="12:28" x14ac:dyDescent="0.45">
      <c r="L35" s="1"/>
      <c r="M35" s="1"/>
      <c r="N35" s="1"/>
      <c r="O35" s="1"/>
      <c r="P35" s="1"/>
    </row>
    <row r="36" spans="12:28" x14ac:dyDescent="0.45">
      <c r="L36" s="1"/>
      <c r="M36" s="1" t="s">
        <v>131</v>
      </c>
      <c r="N36" s="1" t="s">
        <v>132</v>
      </c>
      <c r="O36" s="1" t="s">
        <v>131</v>
      </c>
      <c r="P36" s="1" t="s">
        <v>132</v>
      </c>
      <c r="S36" s="1" t="s">
        <v>131</v>
      </c>
      <c r="T36" s="1" t="s">
        <v>132</v>
      </c>
      <c r="U36" s="1" t="s">
        <v>131</v>
      </c>
      <c r="V36" s="1" t="s">
        <v>132</v>
      </c>
      <c r="Y36" s="1" t="s">
        <v>131</v>
      </c>
      <c r="Z36" s="1" t="s">
        <v>132</v>
      </c>
      <c r="AA36" s="1" t="s">
        <v>131</v>
      </c>
      <c r="AB36" s="1" t="s">
        <v>132</v>
      </c>
    </row>
    <row r="37" spans="12:28" x14ac:dyDescent="0.45">
      <c r="L37" s="1" t="s">
        <v>133</v>
      </c>
      <c r="M37" s="1" t="s">
        <v>81</v>
      </c>
      <c r="N37" s="1" t="s">
        <v>80</v>
      </c>
      <c r="O37" s="1">
        <v>23</v>
      </c>
      <c r="P37" s="1">
        <v>4600000000</v>
      </c>
      <c r="R37" s="1" t="s">
        <v>133</v>
      </c>
      <c r="S37">
        <v>120</v>
      </c>
      <c r="T37">
        <v>2400000000</v>
      </c>
      <c r="U37" t="s">
        <v>75</v>
      </c>
      <c r="V37" t="s">
        <v>80</v>
      </c>
      <c r="X37" s="1" t="s">
        <v>133</v>
      </c>
      <c r="Y37">
        <v>115</v>
      </c>
      <c r="Z37">
        <v>2300000000</v>
      </c>
      <c r="AA37">
        <v>22</v>
      </c>
      <c r="AB37">
        <v>4400000000</v>
      </c>
    </row>
    <row r="38" spans="12:28" x14ac:dyDescent="0.45">
      <c r="L38" s="1" t="s">
        <v>134</v>
      </c>
      <c r="M38" s="1">
        <v>130</v>
      </c>
      <c r="N38" s="1">
        <v>2600000000</v>
      </c>
      <c r="O38" s="1" t="s">
        <v>75</v>
      </c>
      <c r="P38" s="1" t="s">
        <v>80</v>
      </c>
      <c r="R38" s="1" t="s">
        <v>134</v>
      </c>
      <c r="S38">
        <v>135</v>
      </c>
      <c r="T38">
        <v>2700000000</v>
      </c>
      <c r="U38">
        <v>26</v>
      </c>
      <c r="V38">
        <v>5200000000</v>
      </c>
      <c r="X38" s="1" t="s">
        <v>134</v>
      </c>
      <c r="Y38" t="s">
        <v>88</v>
      </c>
      <c r="Z38" t="s">
        <v>80</v>
      </c>
      <c r="AA38" t="s">
        <v>89</v>
      </c>
      <c r="AB38" t="s">
        <v>80</v>
      </c>
    </row>
    <row r="39" spans="12:28" x14ac:dyDescent="0.45">
      <c r="L39" s="1" t="s">
        <v>137</v>
      </c>
      <c r="M39" s="1">
        <v>145</v>
      </c>
      <c r="N39" s="1">
        <v>2900000000</v>
      </c>
      <c r="O39" s="1">
        <v>26</v>
      </c>
      <c r="P39" s="1">
        <v>5200000000</v>
      </c>
      <c r="R39" s="1" t="s">
        <v>137</v>
      </c>
      <c r="S39">
        <v>129</v>
      </c>
      <c r="T39">
        <v>2580000000</v>
      </c>
      <c r="U39" t="s">
        <v>89</v>
      </c>
      <c r="V39" t="s">
        <v>80</v>
      </c>
      <c r="X39" s="1" t="s">
        <v>137</v>
      </c>
      <c r="Y39" t="s">
        <v>90</v>
      </c>
      <c r="Z39" t="s">
        <v>80</v>
      </c>
      <c r="AA39">
        <v>20</v>
      </c>
      <c r="AB39">
        <v>4000000000</v>
      </c>
    </row>
    <row r="40" spans="12:28" x14ac:dyDescent="0.45">
      <c r="L40" s="1" t="s">
        <v>135</v>
      </c>
      <c r="M40" s="1">
        <v>151</v>
      </c>
      <c r="N40" s="1">
        <v>3020000000</v>
      </c>
      <c r="O40" s="1" t="s">
        <v>67</v>
      </c>
      <c r="P40" s="1" t="s">
        <v>80</v>
      </c>
      <c r="R40" s="1" t="s">
        <v>135</v>
      </c>
      <c r="S40" t="s">
        <v>76</v>
      </c>
      <c r="T40" t="s">
        <v>80</v>
      </c>
      <c r="U40">
        <v>18</v>
      </c>
      <c r="V40">
        <v>3600000000</v>
      </c>
      <c r="X40" s="1" t="s">
        <v>135</v>
      </c>
      <c r="Y40" t="s">
        <v>91</v>
      </c>
      <c r="Z40" t="s">
        <v>80</v>
      </c>
      <c r="AA40">
        <v>18</v>
      </c>
      <c r="AB40">
        <v>3600000000</v>
      </c>
    </row>
    <row r="41" spans="12:28" x14ac:dyDescent="0.45">
      <c r="L41" s="1" t="s">
        <v>136</v>
      </c>
      <c r="M41" s="1" t="s">
        <v>68</v>
      </c>
      <c r="N41" s="1" t="s">
        <v>80</v>
      </c>
      <c r="O41" s="1">
        <v>27</v>
      </c>
      <c r="P41" s="1">
        <v>5400000000</v>
      </c>
      <c r="R41" s="1" t="s">
        <v>136</v>
      </c>
      <c r="S41" t="s">
        <v>92</v>
      </c>
      <c r="T41" t="s">
        <v>80</v>
      </c>
      <c r="U41">
        <v>24</v>
      </c>
      <c r="V41">
        <v>4800000000</v>
      </c>
      <c r="X41" s="1" t="s">
        <v>136</v>
      </c>
      <c r="Y41">
        <v>124</v>
      </c>
      <c r="Z41">
        <v>2480000000</v>
      </c>
      <c r="AA41">
        <v>28</v>
      </c>
      <c r="AB41">
        <v>5600000000</v>
      </c>
    </row>
    <row r="42" spans="12:28" x14ac:dyDescent="0.45">
      <c r="L42" s="1" t="s">
        <v>138</v>
      </c>
      <c r="M42" s="1">
        <v>5</v>
      </c>
      <c r="N42" s="1"/>
      <c r="O42" s="1">
        <v>6</v>
      </c>
      <c r="P42" s="1"/>
      <c r="R42" s="1" t="s">
        <v>138</v>
      </c>
      <c r="S42">
        <v>5</v>
      </c>
      <c r="U42">
        <v>6</v>
      </c>
      <c r="X42" s="1" t="s">
        <v>138</v>
      </c>
      <c r="Y42">
        <v>5</v>
      </c>
      <c r="AA42">
        <v>6</v>
      </c>
    </row>
    <row r="43" spans="12:28" x14ac:dyDescent="0.45">
      <c r="L43" s="1" t="s">
        <v>139</v>
      </c>
      <c r="M43" s="1">
        <v>5</v>
      </c>
      <c r="N43" s="1"/>
      <c r="O43" s="1">
        <v>5</v>
      </c>
      <c r="P43" s="1"/>
      <c r="R43" s="1" t="s">
        <v>139</v>
      </c>
      <c r="S43">
        <v>5</v>
      </c>
      <c r="U43">
        <v>5</v>
      </c>
      <c r="X43" s="1" t="s">
        <v>139</v>
      </c>
      <c r="Y43">
        <v>5</v>
      </c>
      <c r="AA43">
        <v>5</v>
      </c>
    </row>
    <row r="44" spans="12:28" x14ac:dyDescent="0.45">
      <c r="L44" s="1" t="s">
        <v>6</v>
      </c>
      <c r="M44" s="1">
        <v>383086877.29489714</v>
      </c>
      <c r="N44" s="1" t="s">
        <v>2</v>
      </c>
      <c r="O44" s="1">
        <v>38</v>
      </c>
      <c r="P44" s="1"/>
      <c r="R44" s="1" t="s">
        <v>6</v>
      </c>
      <c r="S44">
        <v>690957467.73750281</v>
      </c>
      <c r="T44" s="1" t="s">
        <v>2</v>
      </c>
      <c r="U44">
        <v>38</v>
      </c>
      <c r="X44" s="1" t="s">
        <v>6</v>
      </c>
      <c r="Y44">
        <v>753724087.44845092</v>
      </c>
      <c r="Z44" s="1" t="s">
        <v>2</v>
      </c>
      <c r="AA44">
        <v>38</v>
      </c>
    </row>
    <row r="45" spans="12:28" x14ac:dyDescent="0.45">
      <c r="L45" s="1" t="s">
        <v>140</v>
      </c>
      <c r="M45" s="1">
        <v>3953333333.3333335</v>
      </c>
      <c r="N45" s="1" t="s">
        <v>141</v>
      </c>
      <c r="O45" s="1">
        <v>0</v>
      </c>
      <c r="P45" s="1"/>
      <c r="R45" s="1" t="s">
        <v>140</v>
      </c>
      <c r="S45">
        <v>3546666666.6666665</v>
      </c>
      <c r="T45" s="1" t="s">
        <v>141</v>
      </c>
      <c r="U45">
        <v>25</v>
      </c>
      <c r="X45" s="1" t="s">
        <v>140</v>
      </c>
      <c r="Y45">
        <v>3395000000</v>
      </c>
      <c r="Z45" s="1" t="s">
        <v>141</v>
      </c>
      <c r="AA45">
        <v>50</v>
      </c>
    </row>
    <row r="46" spans="12:28" x14ac:dyDescent="0.45">
      <c r="L46" s="1"/>
      <c r="M46" s="1"/>
      <c r="N46" s="1"/>
      <c r="O46" s="1"/>
      <c r="P46" s="1"/>
    </row>
    <row r="47" spans="12:28" x14ac:dyDescent="0.45">
      <c r="L47" s="1" t="s">
        <v>69</v>
      </c>
      <c r="M47" s="1" t="s">
        <v>131</v>
      </c>
      <c r="N47" s="1" t="s">
        <v>132</v>
      </c>
      <c r="O47" s="1" t="s">
        <v>131</v>
      </c>
      <c r="P47" s="1" t="s">
        <v>132</v>
      </c>
      <c r="R47" t="s">
        <v>69</v>
      </c>
      <c r="S47" s="1" t="s">
        <v>131</v>
      </c>
      <c r="T47" s="1" t="s">
        <v>132</v>
      </c>
      <c r="U47" s="1" t="s">
        <v>131</v>
      </c>
      <c r="V47" s="1" t="s">
        <v>132</v>
      </c>
      <c r="X47" t="s">
        <v>69</v>
      </c>
      <c r="Y47" s="1" t="s">
        <v>131</v>
      </c>
      <c r="Z47" s="1" t="s">
        <v>132</v>
      </c>
      <c r="AA47" s="1" t="s">
        <v>131</v>
      </c>
      <c r="AB47" s="1" t="s">
        <v>132</v>
      </c>
    </row>
    <row r="48" spans="12:28" x14ac:dyDescent="0.45">
      <c r="L48" s="1" t="s">
        <v>133</v>
      </c>
      <c r="M48" s="1">
        <v>145</v>
      </c>
      <c r="N48" s="1">
        <v>2900000000</v>
      </c>
      <c r="O48" s="1">
        <v>27</v>
      </c>
      <c r="P48" s="1">
        <v>5400000000</v>
      </c>
      <c r="R48" s="1" t="s">
        <v>133</v>
      </c>
      <c r="S48">
        <v>95</v>
      </c>
      <c r="T48">
        <v>1900000000</v>
      </c>
      <c r="U48">
        <v>21</v>
      </c>
      <c r="V48">
        <v>4200000000</v>
      </c>
      <c r="X48" s="1" t="s">
        <v>133</v>
      </c>
      <c r="Y48">
        <v>92</v>
      </c>
      <c r="Z48">
        <v>1840000000</v>
      </c>
      <c r="AA48">
        <v>23</v>
      </c>
      <c r="AB48">
        <v>4600000000</v>
      </c>
    </row>
    <row r="49" spans="12:28" x14ac:dyDescent="0.45">
      <c r="L49" s="1" t="s">
        <v>134</v>
      </c>
      <c r="M49" s="1">
        <v>135</v>
      </c>
      <c r="N49" s="1">
        <v>2700000000</v>
      </c>
      <c r="O49" s="1">
        <v>26</v>
      </c>
      <c r="P49" s="1">
        <v>5200000000</v>
      </c>
      <c r="R49" s="1" t="s">
        <v>134</v>
      </c>
      <c r="S49">
        <v>97</v>
      </c>
      <c r="T49">
        <v>1940000000</v>
      </c>
      <c r="U49">
        <v>16</v>
      </c>
      <c r="V49">
        <v>3200000000</v>
      </c>
      <c r="X49" s="1" t="s">
        <v>134</v>
      </c>
      <c r="Y49">
        <v>98</v>
      </c>
      <c r="Z49">
        <v>1960000000</v>
      </c>
      <c r="AA49">
        <v>21</v>
      </c>
      <c r="AB49">
        <v>4200000000</v>
      </c>
    </row>
    <row r="50" spans="12:28" x14ac:dyDescent="0.45">
      <c r="L50" s="1" t="s">
        <v>137</v>
      </c>
      <c r="M50" s="1" t="s">
        <v>70</v>
      </c>
      <c r="N50" s="1" t="s">
        <v>80</v>
      </c>
      <c r="O50" s="1">
        <v>22</v>
      </c>
      <c r="P50" s="1">
        <v>4400000000</v>
      </c>
      <c r="R50" s="1" t="s">
        <v>137</v>
      </c>
      <c r="S50">
        <v>94</v>
      </c>
      <c r="T50">
        <v>1880000000</v>
      </c>
      <c r="U50" t="s">
        <v>78</v>
      </c>
      <c r="V50" t="s">
        <v>80</v>
      </c>
      <c r="X50" s="1" t="s">
        <v>137</v>
      </c>
      <c r="Y50">
        <v>118</v>
      </c>
      <c r="Z50">
        <v>2360000000</v>
      </c>
      <c r="AA50">
        <v>25</v>
      </c>
      <c r="AB50">
        <v>5000000000</v>
      </c>
    </row>
    <row r="51" spans="12:28" x14ac:dyDescent="0.45">
      <c r="L51" s="1" t="s">
        <v>135</v>
      </c>
      <c r="M51" s="1" t="s">
        <v>71</v>
      </c>
      <c r="N51" s="1" t="s">
        <v>80</v>
      </c>
      <c r="O51" s="1">
        <v>19</v>
      </c>
      <c r="P51" s="1">
        <v>3800000000</v>
      </c>
      <c r="R51" s="1" t="s">
        <v>135</v>
      </c>
      <c r="S51">
        <v>97</v>
      </c>
      <c r="T51">
        <v>1940000000</v>
      </c>
      <c r="U51">
        <v>18</v>
      </c>
      <c r="V51">
        <v>3600000000</v>
      </c>
      <c r="X51" s="1" t="s">
        <v>135</v>
      </c>
      <c r="Y51">
        <v>95</v>
      </c>
      <c r="Z51">
        <v>1900000000</v>
      </c>
      <c r="AA51">
        <v>22</v>
      </c>
      <c r="AB51">
        <v>4400000000</v>
      </c>
    </row>
    <row r="52" spans="12:28" x14ac:dyDescent="0.45">
      <c r="L52" s="1" t="s">
        <v>136</v>
      </c>
      <c r="M52" s="1">
        <v>129</v>
      </c>
      <c r="N52" s="1">
        <v>2580000000</v>
      </c>
      <c r="O52" s="1" t="s">
        <v>72</v>
      </c>
      <c r="P52" s="1" t="s">
        <v>80</v>
      </c>
      <c r="R52" s="1" t="s">
        <v>136</v>
      </c>
      <c r="S52">
        <v>101</v>
      </c>
      <c r="T52">
        <v>2020000000</v>
      </c>
      <c r="U52">
        <v>21</v>
      </c>
      <c r="V52">
        <v>4200000000</v>
      </c>
      <c r="X52" s="1" t="s">
        <v>136</v>
      </c>
      <c r="Y52" t="s">
        <v>77</v>
      </c>
      <c r="Z52" t="s">
        <v>80</v>
      </c>
      <c r="AA52" t="s">
        <v>79</v>
      </c>
      <c r="AB52" t="s">
        <v>80</v>
      </c>
    </row>
    <row r="53" spans="12:28" x14ac:dyDescent="0.45">
      <c r="L53" s="1" t="s">
        <v>138</v>
      </c>
      <c r="M53" s="1">
        <v>5</v>
      </c>
      <c r="N53" s="1"/>
      <c r="O53" s="1">
        <v>6</v>
      </c>
      <c r="P53" s="1"/>
      <c r="R53" s="1" t="s">
        <v>138</v>
      </c>
      <c r="S53">
        <v>5</v>
      </c>
      <c r="U53">
        <v>6</v>
      </c>
      <c r="X53" s="1" t="s">
        <v>138</v>
      </c>
      <c r="Y53">
        <v>5</v>
      </c>
      <c r="AA53">
        <v>6</v>
      </c>
    </row>
    <row r="54" spans="12:28" x14ac:dyDescent="0.45">
      <c r="L54" s="1" t="s">
        <v>139</v>
      </c>
      <c r="M54" s="1">
        <v>5</v>
      </c>
      <c r="N54" s="1"/>
      <c r="O54" s="1">
        <v>5</v>
      </c>
      <c r="P54" s="1"/>
      <c r="R54" s="1" t="s">
        <v>139</v>
      </c>
      <c r="S54">
        <v>5</v>
      </c>
      <c r="U54">
        <v>5</v>
      </c>
      <c r="X54" s="1" t="s">
        <v>139</v>
      </c>
      <c r="Y54">
        <v>5</v>
      </c>
      <c r="AA54">
        <v>5</v>
      </c>
    </row>
    <row r="55" spans="12:28" x14ac:dyDescent="0.45">
      <c r="L55" s="1" t="s">
        <v>6</v>
      </c>
      <c r="M55" s="1">
        <v>653775360.67232001</v>
      </c>
      <c r="N55" s="1" t="s">
        <v>2</v>
      </c>
      <c r="O55" s="1">
        <v>38</v>
      </c>
      <c r="P55" s="1"/>
      <c r="R55" s="1" t="s">
        <v>6</v>
      </c>
      <c r="S55">
        <v>426970724.99177265</v>
      </c>
      <c r="T55" s="1" t="s">
        <v>2</v>
      </c>
      <c r="U55">
        <v>38</v>
      </c>
      <c r="X55" s="1" t="s">
        <v>6</v>
      </c>
      <c r="Y55">
        <v>359130895.35711068</v>
      </c>
      <c r="Z55" s="1" t="s">
        <v>2</v>
      </c>
      <c r="AA55">
        <v>38</v>
      </c>
    </row>
    <row r="56" spans="12:28" x14ac:dyDescent="0.45">
      <c r="L56" s="1" t="s">
        <v>140</v>
      </c>
      <c r="M56" s="1">
        <v>3713333333.333333</v>
      </c>
      <c r="N56" s="1" t="s">
        <v>141</v>
      </c>
      <c r="O56" s="1">
        <v>0</v>
      </c>
      <c r="P56" s="1"/>
      <c r="R56" s="1" t="s">
        <v>140</v>
      </c>
      <c r="S56">
        <v>2868000000</v>
      </c>
      <c r="T56" s="1" t="s">
        <v>141</v>
      </c>
      <c r="U56">
        <v>25</v>
      </c>
      <c r="X56" s="1" t="s">
        <v>140</v>
      </c>
      <c r="Y56">
        <v>3282500000</v>
      </c>
      <c r="Z56" s="1" t="s">
        <v>141</v>
      </c>
      <c r="AA56">
        <v>50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B3A4C-820D-4CD5-BCC8-05DF7F4C5476}">
  <dimension ref="A1:M8"/>
  <sheetViews>
    <sheetView workbookViewId="0">
      <selection activeCell="B2" sqref="B2"/>
    </sheetView>
  </sheetViews>
  <sheetFormatPr defaultRowHeight="15" x14ac:dyDescent="0.45"/>
  <cols>
    <col min="2" max="2" width="15.85546875" bestFit="1" customWidth="1"/>
    <col min="4" max="4" width="11" bestFit="1" customWidth="1"/>
    <col min="5" max="5" width="13" bestFit="1" customWidth="1"/>
    <col min="6" max="6" width="27" bestFit="1" customWidth="1"/>
    <col min="7" max="7" width="24.7109375" bestFit="1" customWidth="1"/>
    <col min="8" max="8" width="25.85546875" bestFit="1" customWidth="1"/>
    <col min="9" max="9" width="16.5703125" bestFit="1" customWidth="1"/>
    <col min="10" max="10" width="21.28515625" bestFit="1" customWidth="1"/>
    <col min="11" max="11" width="11.85546875" bestFit="1" customWidth="1"/>
    <col min="12" max="12" width="14.85546875" bestFit="1" customWidth="1"/>
    <col min="13" max="13" width="19.42578125" bestFit="1" customWidth="1"/>
  </cols>
  <sheetData>
    <row r="1" spans="1:13" x14ac:dyDescent="0.45">
      <c r="A1">
        <v>0</v>
      </c>
      <c r="D1" s="13">
        <v>45582</v>
      </c>
    </row>
    <row r="2" spans="1:13" x14ac:dyDescent="0.45">
      <c r="B2" t="s">
        <v>62</v>
      </c>
      <c r="E2" t="s">
        <v>49</v>
      </c>
      <c r="F2" t="s">
        <v>50</v>
      </c>
      <c r="G2" t="s">
        <v>51</v>
      </c>
      <c r="H2" t="s">
        <v>52</v>
      </c>
    </row>
    <row r="3" spans="1:13" x14ac:dyDescent="0.45">
      <c r="D3" t="s">
        <v>61</v>
      </c>
      <c r="E3">
        <v>1.1944999999999999</v>
      </c>
      <c r="F3">
        <v>3.1592500000000001</v>
      </c>
      <c r="G3">
        <v>3.3209999999999997</v>
      </c>
      <c r="H3">
        <v>3.3464999999999998</v>
      </c>
    </row>
    <row r="4" spans="1:13" x14ac:dyDescent="0.45">
      <c r="D4" t="s">
        <v>6</v>
      </c>
      <c r="E4">
        <v>0.874771255814913</v>
      </c>
      <c r="F4">
        <v>0.22332417580727795</v>
      </c>
      <c r="G4">
        <v>4.6999999999999931E-2</v>
      </c>
      <c r="H4">
        <v>3.4499999999999975E-2</v>
      </c>
    </row>
    <row r="6" spans="1:13" x14ac:dyDescent="0.45">
      <c r="E6" t="s">
        <v>53</v>
      </c>
      <c r="F6" t="s">
        <v>54</v>
      </c>
      <c r="G6" t="s">
        <v>55</v>
      </c>
      <c r="H6" t="s">
        <v>34</v>
      </c>
      <c r="I6" t="s">
        <v>56</v>
      </c>
      <c r="J6" t="s">
        <v>57</v>
      </c>
      <c r="K6" t="s">
        <v>58</v>
      </c>
      <c r="L6" t="s">
        <v>59</v>
      </c>
      <c r="M6" t="s">
        <v>60</v>
      </c>
    </row>
    <row r="7" spans="1:13" x14ac:dyDescent="0.45">
      <c r="D7" t="s">
        <v>61</v>
      </c>
      <c r="E7">
        <v>2.391</v>
      </c>
      <c r="F7">
        <v>3.21075</v>
      </c>
      <c r="G7">
        <v>3.3545000000000003</v>
      </c>
      <c r="H7">
        <v>0.98824999999999996</v>
      </c>
      <c r="I7">
        <v>1.8890000000000002</v>
      </c>
      <c r="J7">
        <v>3.1777499999999996</v>
      </c>
      <c r="K7">
        <v>3.2757499999999999</v>
      </c>
      <c r="L7">
        <v>3.3445</v>
      </c>
      <c r="M7">
        <v>3.4195000000000002</v>
      </c>
    </row>
    <row r="8" spans="1:13" x14ac:dyDescent="0.45">
      <c r="D8" t="s">
        <v>6</v>
      </c>
      <c r="E8">
        <v>0.45891883814025319</v>
      </c>
      <c r="F8">
        <v>5.9486868298810364E-2</v>
      </c>
      <c r="G8">
        <v>0.13280907348521045</v>
      </c>
      <c r="H8">
        <v>0.39113448774047022</v>
      </c>
      <c r="I8">
        <v>0.79823022994622239</v>
      </c>
      <c r="J8">
        <v>0.43032567608731193</v>
      </c>
      <c r="K8">
        <v>2.7371289702898531E-2</v>
      </c>
      <c r="L8">
        <v>0.17832344209329287</v>
      </c>
      <c r="M8">
        <v>5.7399912891919903E-2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735DF-CE69-4B99-A6E5-E7FB6B6EA813}">
  <dimension ref="A1:I7"/>
  <sheetViews>
    <sheetView workbookViewId="0">
      <selection activeCell="B2" sqref="B2"/>
    </sheetView>
  </sheetViews>
  <sheetFormatPr defaultRowHeight="13.9" x14ac:dyDescent="0.4"/>
  <cols>
    <col min="1" max="1" width="9.140625" style="1"/>
    <col min="2" max="2" width="19.7109375" style="1" bestFit="1" customWidth="1"/>
    <col min="3" max="3" width="9.140625" style="1"/>
    <col min="4" max="4" width="24" style="1" bestFit="1" customWidth="1"/>
    <col min="5" max="9" width="13" style="1" bestFit="1" customWidth="1"/>
    <col min="10" max="16384" width="9.140625" style="1"/>
  </cols>
  <sheetData>
    <row r="1" spans="1:9" x14ac:dyDescent="0.4">
      <c r="A1" s="1">
        <v>0</v>
      </c>
    </row>
    <row r="2" spans="1:9" x14ac:dyDescent="0.4">
      <c r="B2" s="1" t="s">
        <v>93</v>
      </c>
      <c r="D2" s="16" t="s">
        <v>2</v>
      </c>
      <c r="E2" s="16">
        <v>1.5</v>
      </c>
      <c r="F2" s="16">
        <v>3</v>
      </c>
      <c r="G2" s="16">
        <v>6</v>
      </c>
      <c r="H2" s="16">
        <v>15</v>
      </c>
      <c r="I2" s="16">
        <v>27</v>
      </c>
    </row>
    <row r="3" spans="1:9" x14ac:dyDescent="0.4">
      <c r="D3" s="16" t="s">
        <v>94</v>
      </c>
      <c r="E3" s="1">
        <v>0.24149999999999999</v>
      </c>
      <c r="F3" s="1">
        <v>0.26749999999999996</v>
      </c>
      <c r="G3" s="1">
        <v>0.28600000000000003</v>
      </c>
      <c r="H3" s="1">
        <v>0.35299999999999998</v>
      </c>
      <c r="I3" s="1">
        <v>0.36549999999999999</v>
      </c>
    </row>
    <row r="4" spans="1:9" x14ac:dyDescent="0.4">
      <c r="D4" s="16" t="s">
        <v>95</v>
      </c>
      <c r="E4" s="1">
        <v>5.5769230769230766</v>
      </c>
      <c r="F4" s="1">
        <v>7.1153846153846114</v>
      </c>
      <c r="G4" s="1">
        <v>38.461538461538453</v>
      </c>
      <c r="H4" s="1">
        <v>52.307692307692349</v>
      </c>
      <c r="I4" s="1">
        <v>22.884615384615369</v>
      </c>
    </row>
    <row r="5" spans="1:9" x14ac:dyDescent="0.4">
      <c r="D5" s="16" t="s">
        <v>96</v>
      </c>
      <c r="E5" s="1">
        <v>63.03846153846154</v>
      </c>
      <c r="F5" s="1">
        <v>73.038461538461519</v>
      </c>
      <c r="G5" s="1">
        <v>80.153846153846175</v>
      </c>
      <c r="H5" s="1">
        <v>105.92307692307692</v>
      </c>
      <c r="I5" s="1">
        <v>110.73076923076923</v>
      </c>
    </row>
    <row r="6" spans="1:9" x14ac:dyDescent="0.4">
      <c r="D6" s="16"/>
    </row>
    <row r="7" spans="1:9" x14ac:dyDescent="0.4">
      <c r="D7" s="16"/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ED3A4-87D0-49B7-872E-DC974F8CA6CC}">
  <dimension ref="A1:O7"/>
  <sheetViews>
    <sheetView tabSelected="1" workbookViewId="0">
      <selection activeCell="F23" sqref="F23"/>
    </sheetView>
  </sheetViews>
  <sheetFormatPr defaultRowHeight="15" x14ac:dyDescent="0.45"/>
  <cols>
    <col min="2" max="2" width="16.78515625" bestFit="1" customWidth="1"/>
    <col min="4" max="4" width="26.7109375" bestFit="1" customWidth="1"/>
    <col min="5" max="5" width="25.28515625" bestFit="1" customWidth="1"/>
    <col min="6" max="6" width="18.85546875" bestFit="1" customWidth="1"/>
    <col min="7" max="7" width="19.42578125" bestFit="1" customWidth="1"/>
    <col min="8" max="8" width="20.5703125" bestFit="1" customWidth="1"/>
    <col min="9" max="9" width="14" bestFit="1" customWidth="1"/>
    <col min="11" max="11" width="24.7109375" bestFit="1" customWidth="1"/>
    <col min="12" max="12" width="25.28515625" bestFit="1" customWidth="1"/>
    <col min="13" max="14" width="17" bestFit="1" customWidth="1"/>
    <col min="15" max="15" width="14" bestFit="1" customWidth="1"/>
  </cols>
  <sheetData>
    <row r="1" spans="1:15" x14ac:dyDescent="0.45">
      <c r="A1">
        <v>0</v>
      </c>
    </row>
    <row r="2" spans="1:15" x14ac:dyDescent="0.45">
      <c r="B2" t="s">
        <v>142</v>
      </c>
      <c r="D2" s="17" t="s">
        <v>144</v>
      </c>
      <c r="E2" s="18" t="s">
        <v>97</v>
      </c>
      <c r="F2" s="18" t="s">
        <v>98</v>
      </c>
      <c r="G2" s="18" t="s">
        <v>99</v>
      </c>
      <c r="H2" s="18" t="s">
        <v>100</v>
      </c>
      <c r="I2" s="18" t="s">
        <v>101</v>
      </c>
      <c r="K2" s="17" t="s">
        <v>143</v>
      </c>
      <c r="L2" s="18" t="s">
        <v>97</v>
      </c>
      <c r="M2" s="18" t="s">
        <v>102</v>
      </c>
      <c r="N2" s="18" t="s">
        <v>103</v>
      </c>
      <c r="O2" s="18" t="s">
        <v>101</v>
      </c>
    </row>
    <row r="3" spans="1:15" x14ac:dyDescent="0.45">
      <c r="D3" s="28" t="s">
        <v>3</v>
      </c>
      <c r="E3" s="8">
        <v>1.9</v>
      </c>
      <c r="F3" s="8">
        <v>0.03</v>
      </c>
      <c r="G3" s="8">
        <v>0.01</v>
      </c>
      <c r="H3" s="8">
        <v>0</v>
      </c>
      <c r="I3" s="8">
        <v>0.01</v>
      </c>
      <c r="K3" s="28" t="s">
        <v>3</v>
      </c>
      <c r="L3" s="8">
        <v>1.9</v>
      </c>
      <c r="M3" s="8">
        <v>0.69</v>
      </c>
      <c r="N3" s="8">
        <v>0.36</v>
      </c>
      <c r="O3" s="8">
        <v>0.01</v>
      </c>
    </row>
    <row r="4" spans="1:15" x14ac:dyDescent="0.45">
      <c r="D4" s="28"/>
      <c r="E4" s="8">
        <v>1.91</v>
      </c>
      <c r="F4" s="8">
        <v>0.03</v>
      </c>
      <c r="G4" s="8">
        <v>0</v>
      </c>
      <c r="H4" s="8">
        <v>0</v>
      </c>
      <c r="I4" s="8">
        <v>0.04</v>
      </c>
      <c r="K4" s="28"/>
      <c r="L4" s="8">
        <v>1.91</v>
      </c>
      <c r="M4" s="8">
        <v>0.64</v>
      </c>
      <c r="N4" s="8">
        <v>0.39</v>
      </c>
      <c r="O4" s="8">
        <v>0.04</v>
      </c>
    </row>
    <row r="5" spans="1:15" x14ac:dyDescent="0.45">
      <c r="D5" s="28"/>
      <c r="E5" s="8">
        <v>1.9</v>
      </c>
      <c r="F5" s="8">
        <v>0.03</v>
      </c>
      <c r="G5" s="8">
        <v>0.05</v>
      </c>
      <c r="H5" s="8">
        <v>0.01</v>
      </c>
      <c r="I5" s="8">
        <v>0</v>
      </c>
      <c r="K5" s="28"/>
      <c r="L5" s="8">
        <v>1.9</v>
      </c>
      <c r="M5" s="8">
        <v>0.67</v>
      </c>
      <c r="N5" s="8">
        <v>0.41</v>
      </c>
      <c r="O5" s="8">
        <v>0</v>
      </c>
    </row>
    <row r="6" spans="1:15" x14ac:dyDescent="0.45">
      <c r="D6" s="28"/>
      <c r="E6" s="8">
        <v>1.89</v>
      </c>
      <c r="F6" s="8">
        <v>0.05</v>
      </c>
      <c r="G6" s="8">
        <v>0</v>
      </c>
      <c r="H6" s="8">
        <v>0.01</v>
      </c>
      <c r="I6" s="8">
        <v>0.01</v>
      </c>
      <c r="K6" s="28"/>
      <c r="L6" s="8">
        <v>1.89</v>
      </c>
      <c r="M6" s="8">
        <v>0.62</v>
      </c>
      <c r="N6" s="8">
        <v>0.37</v>
      </c>
      <c r="O6" s="8">
        <v>0.01</v>
      </c>
    </row>
    <row r="7" spans="1:15" x14ac:dyDescent="0.45">
      <c r="D7" s="28"/>
      <c r="E7" s="8">
        <v>1.9</v>
      </c>
      <c r="F7" s="8">
        <v>0.04</v>
      </c>
      <c r="G7" s="8">
        <v>0</v>
      </c>
      <c r="H7" s="8">
        <v>0</v>
      </c>
      <c r="I7" s="8">
        <v>0</v>
      </c>
      <c r="K7" s="28"/>
      <c r="L7" s="8">
        <v>1.9</v>
      </c>
      <c r="M7" s="8">
        <v>0.65</v>
      </c>
      <c r="N7" s="8">
        <v>0.36</v>
      </c>
      <c r="O7" s="8">
        <v>0</v>
      </c>
    </row>
  </sheetData>
  <mergeCells count="2">
    <mergeCell ref="D3:D7"/>
    <mergeCell ref="K3:K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L. lactis growth curve OD</vt:lpstr>
      <vt:lpstr>L. lactis growth curve CFU</vt:lpstr>
      <vt:lpstr>E. coli growth curve OD</vt:lpstr>
      <vt:lpstr>E. coli growth curve CFU</vt:lpstr>
      <vt:lpstr>L. lactis growth curve in 37C C</vt:lpstr>
      <vt:lpstr>L. lactis growth curve in 37C O</vt:lpstr>
      <vt:lpstr>hydrogel diffusion </vt:lpstr>
      <vt:lpstr>AMP to L. lactis pretest</vt:lpstr>
      <vt:lpstr>AMP to E. coli</vt:lpstr>
      <vt:lpstr>AMP to E. coli second dose</vt:lpstr>
      <vt:lpstr>cell proliferation</vt:lpstr>
      <vt:lpstr>ELISA diffusion test</vt:lpstr>
      <vt:lpstr>antibiotic selection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黃品喆</dc:creator>
  <cp:lastModifiedBy>黃品喆</cp:lastModifiedBy>
  <dcterms:created xsi:type="dcterms:W3CDTF">2015-06-05T18:19:34Z</dcterms:created>
  <dcterms:modified xsi:type="dcterms:W3CDTF">2026-01-09T04:31:46Z</dcterms:modified>
</cp:coreProperties>
</file>