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128FED32-DD7F-4800-AB8F-5FCEA59ED9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8" i="1" l="1"/>
  <c r="AK28" i="1"/>
  <c r="AE28" i="1"/>
  <c r="H27" i="1"/>
  <c r="H26" i="1"/>
  <c r="H23" i="1"/>
  <c r="H18" i="1"/>
  <c r="H17" i="1"/>
  <c r="H14" i="1"/>
  <c r="H9" i="1"/>
  <c r="H8" i="1"/>
  <c r="H5" i="1"/>
</calcChain>
</file>

<file path=xl/sharedStrings.xml><?xml version="1.0" encoding="utf-8"?>
<sst xmlns="http://schemas.openxmlformats.org/spreadsheetml/2006/main" count="411" uniqueCount="48">
  <si>
    <t>AMP to E. coli second dose</t>
    <phoneticPr fontId="1" type="noConversion"/>
  </si>
  <si>
    <t>AMP 0 ug/ml</t>
    <phoneticPr fontId="1" type="noConversion"/>
  </si>
  <si>
    <t>mean bacteria concentration</t>
    <phoneticPr fontId="1" type="noConversion"/>
  </si>
  <si>
    <t>SD</t>
  </si>
  <si>
    <t>time (hr)</t>
    <phoneticPr fontId="1" type="noConversion"/>
  </si>
  <si>
    <t>portion</t>
    <phoneticPr fontId="1" type="noConversion"/>
  </si>
  <si>
    <t>CFU</t>
    <phoneticPr fontId="1" type="noConversion"/>
  </si>
  <si>
    <t>bacteria concentration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</si>
  <si>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</si>
  <si>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</si>
  <si>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</si>
  <si>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</si>
  <si>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6 no</t>
  </si>
  <si>
    <t>N/A</t>
  </si>
  <si>
    <t>52 no</t>
  </si>
  <si>
    <t>e</t>
    <phoneticPr fontId="1" type="noConversion"/>
  </si>
  <si>
    <t>62 no</t>
  </si>
  <si>
    <t>5 no</t>
  </si>
  <si>
    <t>dilution ratio (10^n)</t>
    <phoneticPr fontId="1" type="noConversion"/>
  </si>
  <si>
    <t>loading volume (λ)</t>
    <phoneticPr fontId="1" type="noConversion"/>
  </si>
  <si>
    <t>AMP 25 ug/ml</t>
    <phoneticPr fontId="1" type="noConversion"/>
  </si>
  <si>
    <t>SD</t>
    <phoneticPr fontId="1" type="noConversion"/>
  </si>
  <si>
    <t>mean bacteria conc. (mL)</t>
    <phoneticPr fontId="1" type="noConversion"/>
  </si>
  <si>
    <r>
      <t>AMP</t>
    </r>
    <r>
      <rPr>
        <sz val="11"/>
        <color theme="1"/>
        <rFont val="新細明體"/>
        <family val="1"/>
        <charset val="136"/>
      </rPr>
      <t xml:space="preserve"> </t>
    </r>
    <r>
      <rPr>
        <sz val="11"/>
        <color theme="1"/>
        <rFont val="Times New Roman"/>
        <family val="1"/>
      </rPr>
      <t>concentration (ug/ml)</t>
    </r>
    <phoneticPr fontId="1" type="noConversion"/>
  </si>
  <si>
    <t>75 no</t>
  </si>
  <si>
    <t>69 no</t>
  </si>
  <si>
    <t>AMP 50 ug/ml</t>
    <phoneticPr fontId="1" type="noConversion"/>
  </si>
  <si>
    <t>145 no</t>
  </si>
  <si>
    <t>144 no</t>
  </si>
  <si>
    <t>119 no</t>
  </si>
  <si>
    <t>31 no</t>
  </si>
  <si>
    <t>159 no</t>
  </si>
  <si>
    <t>28 no</t>
  </si>
  <si>
    <t>105 no</t>
  </si>
  <si>
    <t>16 no</t>
  </si>
  <si>
    <t>103 no</t>
  </si>
  <si>
    <t>32 no</t>
  </si>
  <si>
    <t>140 no</t>
  </si>
  <si>
    <t>99 no</t>
  </si>
  <si>
    <t>174 no</t>
  </si>
  <si>
    <t>106 no</t>
  </si>
  <si>
    <t>+</t>
  </si>
  <si>
    <t>113 no</t>
  </si>
  <si>
    <t>11 no</t>
  </si>
  <si>
    <t>109 no</t>
  </si>
  <si>
    <t>14 no</t>
  </si>
  <si>
    <t>124 no</t>
  </si>
  <si>
    <t>15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</si>
</sst>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T56"/>
  <sheetViews>
    <sheetView tabSelected="1" workbookViewId="0"/>
  </sheetViews>
  <sheetFormatPr defaultRowHeight="15" x14ac:dyDescent="0.45"/>
  <cols>
    <col min="2" max="2" width="25.140625" bestFit="1" customWidth="1"/>
    <col min="4" max="4" width="13.28515625" bestFit="1" customWidth="1"/>
    <col min="5" max="5" width="24.35546875" bestFit="1" customWidth="1"/>
    <col min="6" max="7" width="13" bestFit="1" customWidth="1"/>
    <col min="12" max="12" width="22.5" bestFit="1" customWidth="1"/>
    <col min="13" max="13" width="12.28515625" bestFit="1" customWidth="1"/>
    <col min="14" max="14" width="24.42578125" bestFit="1" customWidth="1"/>
    <col min="15" max="15" width="5.640625" bestFit="1" customWidth="1"/>
    <col min="16" max="16" width="19.35546875" bestFit="1" customWidth="1"/>
    <col min="18" max="18" width="22.5" bestFit="1" customWidth="1"/>
    <col min="19" max="19" width="12.28515625" bestFit="1" customWidth="1"/>
    <col min="20" max="20" width="24.42578125" bestFit="1" customWidth="1"/>
    <col min="21" max="21" width="12.28515625" bestFit="1" customWidth="1"/>
    <col min="22" max="22" width="19.35546875" bestFit="1" customWidth="1"/>
    <col min="24" max="24" width="22.5" bestFit="1" customWidth="1"/>
    <col min="25" max="25" width="12.28515625" bestFit="1" customWidth="1"/>
    <col min="26" max="26" width="24.42578125" bestFit="1" customWidth="1"/>
    <col min="27" max="27" width="12.28515625" bestFit="1" customWidth="1"/>
    <col min="28" max="28" width="19.35546875" bestFit="1" customWidth="1"/>
    <col min="30" max="30" width="22.5" bestFit="1" customWidth="1"/>
    <col min="31" max="31" width="12.28515625" bestFit="1" customWidth="1"/>
    <col min="32" max="32" width="24.42578125" bestFit="1" customWidth="1"/>
    <col min="33" max="33" width="5.140625" bestFit="1" customWidth="1"/>
    <col min="34" max="34" width="19.35546875" bestFit="1" customWidth="1"/>
    <col min="36" max="36" width="22.5" bestFit="1" customWidth="1"/>
    <col min="37" max="37" width="12.28515625" bestFit="1" customWidth="1"/>
    <col min="38" max="38" width="24.42578125" bestFit="1" customWidth="1"/>
    <col min="39" max="39" width="12.28515625" bestFit="1" customWidth="1"/>
    <col min="40" max="40" width="19.35546875" bestFit="1" customWidth="1"/>
    <col min="42" max="42" width="22.5" bestFit="1" customWidth="1"/>
    <col min="43" max="43" width="12.28515625" bestFit="1" customWidth="1"/>
    <col min="44" max="44" width="24.42578125" bestFit="1" customWidth="1"/>
    <col min="45" max="45" width="12.28515625" bestFit="1" customWidth="1"/>
    <col min="46" max="46" width="19.35546875" bestFit="1" customWidth="1"/>
  </cols>
  <sheetData>
    <row r="2" spans="2:46" x14ac:dyDescent="0.45">
      <c r="B2" t="s">
        <v>0</v>
      </c>
    </row>
    <row r="3" spans="2:46" x14ac:dyDescent="0.45">
      <c r="D3" t="s">
        <v>1</v>
      </c>
      <c r="E3" t="s">
        <v>2</v>
      </c>
      <c r="F3" t="s">
        <v>3</v>
      </c>
      <c r="G3" t="s">
        <v>4</v>
      </c>
      <c r="H3" t="s">
        <v>5</v>
      </c>
      <c r="L3" s="1"/>
      <c r="M3" s="1" t="s">
        <v>6</v>
      </c>
      <c r="N3" s="1" t="s">
        <v>7</v>
      </c>
      <c r="O3" s="1" t="s">
        <v>6</v>
      </c>
      <c r="P3" s="1" t="s">
        <v>7</v>
      </c>
      <c r="S3" s="1" t="s">
        <v>6</v>
      </c>
      <c r="T3" s="1" t="s">
        <v>7</v>
      </c>
      <c r="U3" s="1" t="s">
        <v>6</v>
      </c>
      <c r="V3" s="1" t="s">
        <v>7</v>
      </c>
      <c r="Y3" s="1" t="s">
        <v>6</v>
      </c>
      <c r="Z3" s="1" t="s">
        <v>7</v>
      </c>
      <c r="AA3" s="1" t="s">
        <v>6</v>
      </c>
      <c r="AB3" s="1" t="s">
        <v>7</v>
      </c>
      <c r="AE3" s="1" t="s">
        <v>6</v>
      </c>
      <c r="AF3" s="1" t="s">
        <v>7</v>
      </c>
      <c r="AG3" s="1" t="s">
        <v>6</v>
      </c>
      <c r="AH3" s="1" t="s">
        <v>7</v>
      </c>
      <c r="AK3" s="1" t="s">
        <v>6</v>
      </c>
      <c r="AL3" s="1" t="s">
        <v>7</v>
      </c>
      <c r="AM3" s="1" t="s">
        <v>6</v>
      </c>
      <c r="AN3" s="1" t="s">
        <v>7</v>
      </c>
      <c r="AQ3" s="1" t="s">
        <v>6</v>
      </c>
      <c r="AR3" s="1" t="s">
        <v>7</v>
      </c>
      <c r="AS3" s="1" t="s">
        <v>6</v>
      </c>
      <c r="AT3" s="1" t="s">
        <v>7</v>
      </c>
    </row>
    <row r="4" spans="2:46" x14ac:dyDescent="0.45">
      <c r="D4">
        <v>1</v>
      </c>
      <c r="E4">
        <v>1814000</v>
      </c>
      <c r="F4">
        <v>500975.04927890375</v>
      </c>
      <c r="G4">
        <v>0</v>
      </c>
      <c r="L4" s="1" t="s">
        <v>8</v>
      </c>
      <c r="M4" s="1">
        <v>116</v>
      </c>
      <c r="N4" s="1">
        <v>23200000</v>
      </c>
      <c r="O4" s="1">
        <v>8</v>
      </c>
      <c r="P4" s="1">
        <v>16000000</v>
      </c>
      <c r="R4" s="1" t="s">
        <v>8</v>
      </c>
      <c r="S4">
        <v>97</v>
      </c>
      <c r="T4">
        <v>19400000</v>
      </c>
      <c r="U4">
        <v>4</v>
      </c>
      <c r="V4">
        <v>8000000</v>
      </c>
      <c r="X4" s="1" t="s">
        <v>8</v>
      </c>
      <c r="Y4">
        <v>72</v>
      </c>
      <c r="Z4">
        <v>14400000</v>
      </c>
      <c r="AA4">
        <v>6</v>
      </c>
      <c r="AB4">
        <v>12000000</v>
      </c>
      <c r="AD4" s="1" t="s">
        <v>8</v>
      </c>
      <c r="AE4">
        <v>122</v>
      </c>
      <c r="AF4">
        <v>2440000</v>
      </c>
      <c r="AG4">
        <v>3</v>
      </c>
      <c r="AH4">
        <v>600000</v>
      </c>
      <c r="AJ4" s="1" t="s">
        <v>8</v>
      </c>
      <c r="AK4">
        <v>83</v>
      </c>
      <c r="AL4">
        <v>1660000</v>
      </c>
      <c r="AM4">
        <v>7</v>
      </c>
      <c r="AN4">
        <v>1400000</v>
      </c>
      <c r="AP4" s="1" t="s">
        <v>8</v>
      </c>
      <c r="AQ4">
        <v>68</v>
      </c>
      <c r="AR4">
        <v>1360000</v>
      </c>
      <c r="AS4">
        <v>5</v>
      </c>
      <c r="AT4">
        <v>1000000</v>
      </c>
    </row>
    <row r="5" spans="2:46" x14ac:dyDescent="0.45">
      <c r="D5">
        <v>2</v>
      </c>
      <c r="E5">
        <v>4576000</v>
      </c>
      <c r="F5">
        <v>1490857.4713902064</v>
      </c>
      <c r="G5">
        <v>0.5</v>
      </c>
      <c r="H5">
        <f>E5/E4</f>
        <v>2.5226019845644982</v>
      </c>
      <c r="L5" s="1" t="s">
        <v>9</v>
      </c>
      <c r="M5" s="1">
        <v>113</v>
      </c>
      <c r="N5" s="1">
        <v>22600000</v>
      </c>
      <c r="O5" s="1">
        <v>8</v>
      </c>
      <c r="P5" s="1">
        <v>16000000</v>
      </c>
      <c r="R5" s="1" t="s">
        <v>9</v>
      </c>
      <c r="S5">
        <v>91</v>
      </c>
      <c r="T5">
        <v>18200000</v>
      </c>
      <c r="U5">
        <v>7</v>
      </c>
      <c r="V5">
        <v>14000000</v>
      </c>
      <c r="X5" s="1" t="s">
        <v>9</v>
      </c>
      <c r="Y5">
        <v>65</v>
      </c>
      <c r="Z5">
        <v>13000000</v>
      </c>
      <c r="AA5">
        <v>7</v>
      </c>
      <c r="AB5">
        <v>14000000</v>
      </c>
      <c r="AD5" s="1" t="s">
        <v>9</v>
      </c>
      <c r="AE5">
        <v>119</v>
      </c>
      <c r="AF5">
        <v>2380000</v>
      </c>
      <c r="AG5">
        <v>10</v>
      </c>
      <c r="AH5">
        <v>2000000</v>
      </c>
      <c r="AJ5" s="1" t="s">
        <v>9</v>
      </c>
      <c r="AK5">
        <v>76</v>
      </c>
      <c r="AL5">
        <v>1520000</v>
      </c>
      <c r="AM5">
        <v>9</v>
      </c>
      <c r="AN5">
        <v>1800000</v>
      </c>
      <c r="AP5" s="1" t="s">
        <v>9</v>
      </c>
      <c r="AQ5">
        <v>66</v>
      </c>
      <c r="AR5">
        <v>1320000</v>
      </c>
      <c r="AS5">
        <v>4</v>
      </c>
      <c r="AT5">
        <v>800000</v>
      </c>
    </row>
    <row r="6" spans="2:46" x14ac:dyDescent="0.45">
      <c r="D6">
        <v>3</v>
      </c>
      <c r="E6" s="1">
        <v>333500000</v>
      </c>
      <c r="F6" s="1">
        <v>16360521.589077368</v>
      </c>
      <c r="G6">
        <v>4</v>
      </c>
      <c r="L6" s="1" t="s">
        <v>10</v>
      </c>
      <c r="M6" s="1">
        <v>83</v>
      </c>
      <c r="N6" s="1">
        <v>16600000</v>
      </c>
      <c r="O6" s="1">
        <v>4</v>
      </c>
      <c r="P6" s="1">
        <v>8000000</v>
      </c>
      <c r="R6" s="1" t="s">
        <v>10</v>
      </c>
      <c r="S6">
        <v>63</v>
      </c>
      <c r="T6">
        <v>12600000</v>
      </c>
      <c r="U6">
        <v>6</v>
      </c>
      <c r="V6">
        <v>12000000</v>
      </c>
      <c r="X6" s="1" t="s">
        <v>10</v>
      </c>
      <c r="Y6">
        <v>83</v>
      </c>
      <c r="Z6">
        <v>16600000</v>
      </c>
      <c r="AA6">
        <v>5</v>
      </c>
      <c r="AB6">
        <v>10000000</v>
      </c>
      <c r="AD6" s="1" t="s">
        <v>10</v>
      </c>
      <c r="AE6">
        <v>122</v>
      </c>
      <c r="AF6">
        <v>2440000</v>
      </c>
      <c r="AG6">
        <v>4</v>
      </c>
      <c r="AH6">
        <v>800000</v>
      </c>
      <c r="AJ6" s="1" t="s">
        <v>10</v>
      </c>
      <c r="AK6">
        <v>94</v>
      </c>
      <c r="AL6">
        <v>1880000</v>
      </c>
      <c r="AM6">
        <v>2</v>
      </c>
      <c r="AN6">
        <v>400000</v>
      </c>
      <c r="AP6" s="1" t="s">
        <v>10</v>
      </c>
      <c r="AQ6">
        <v>83</v>
      </c>
      <c r="AR6">
        <v>1660000</v>
      </c>
      <c r="AS6">
        <v>5</v>
      </c>
      <c r="AT6">
        <v>1000000</v>
      </c>
    </row>
    <row r="7" spans="2:46" x14ac:dyDescent="0.45">
      <c r="D7">
        <v>4</v>
      </c>
      <c r="E7" s="1">
        <v>3935000000</v>
      </c>
      <c r="F7" s="1">
        <v>413642357.59892863</v>
      </c>
      <c r="G7">
        <v>37.5</v>
      </c>
      <c r="L7" s="1" t="s">
        <v>11</v>
      </c>
      <c r="M7" s="1">
        <v>95</v>
      </c>
      <c r="N7" s="1">
        <v>19000000</v>
      </c>
      <c r="O7" s="1">
        <v>6</v>
      </c>
      <c r="P7" s="1">
        <v>12000000</v>
      </c>
      <c r="R7" s="1" t="s">
        <v>11</v>
      </c>
      <c r="S7">
        <v>67</v>
      </c>
      <c r="T7">
        <v>13400000</v>
      </c>
      <c r="U7">
        <v>7</v>
      </c>
      <c r="V7">
        <v>14000000</v>
      </c>
      <c r="X7" s="1" t="s">
        <v>11</v>
      </c>
      <c r="Y7">
        <v>77</v>
      </c>
      <c r="Z7">
        <v>15400000</v>
      </c>
      <c r="AA7">
        <v>2</v>
      </c>
      <c r="AB7">
        <v>4000000</v>
      </c>
      <c r="AD7" s="1" t="s">
        <v>11</v>
      </c>
      <c r="AE7">
        <v>129</v>
      </c>
      <c r="AF7">
        <v>2580000</v>
      </c>
      <c r="AG7">
        <v>7</v>
      </c>
      <c r="AH7">
        <v>1400000</v>
      </c>
      <c r="AJ7" s="1" t="s">
        <v>11</v>
      </c>
      <c r="AK7">
        <v>89</v>
      </c>
      <c r="AL7">
        <v>1780000</v>
      </c>
      <c r="AM7" t="s">
        <v>12</v>
      </c>
      <c r="AN7" t="s">
        <v>13</v>
      </c>
      <c r="AP7" s="1" t="s">
        <v>11</v>
      </c>
      <c r="AQ7" t="s">
        <v>14</v>
      </c>
      <c r="AR7" t="s">
        <v>13</v>
      </c>
      <c r="AS7">
        <v>5</v>
      </c>
      <c r="AT7">
        <v>1000000</v>
      </c>
    </row>
    <row r="8" spans="2:46" x14ac:dyDescent="0.45">
      <c r="D8">
        <v>5</v>
      </c>
      <c r="E8" s="1">
        <v>3953333333.3333335</v>
      </c>
      <c r="F8" s="1">
        <v>383086877.29489714</v>
      </c>
      <c r="G8">
        <v>38</v>
      </c>
      <c r="H8">
        <f>E8/E7</f>
        <v>1.0046590427784838</v>
      </c>
      <c r="L8" s="1" t="s">
        <v>15</v>
      </c>
      <c r="M8" s="1">
        <v>97</v>
      </c>
      <c r="N8" s="1">
        <v>19400000</v>
      </c>
      <c r="O8" s="1">
        <v>15</v>
      </c>
      <c r="P8" s="1">
        <v>30000000</v>
      </c>
      <c r="R8" s="1" t="s">
        <v>15</v>
      </c>
      <c r="S8">
        <v>89</v>
      </c>
      <c r="T8">
        <v>17800000</v>
      </c>
      <c r="U8">
        <v>7</v>
      </c>
      <c r="V8">
        <v>14000000</v>
      </c>
      <c r="X8" s="1" t="s">
        <v>15</v>
      </c>
      <c r="Y8">
        <v>80</v>
      </c>
      <c r="Z8">
        <v>16000000</v>
      </c>
      <c r="AA8">
        <v>4</v>
      </c>
      <c r="AB8">
        <v>8000000</v>
      </c>
      <c r="AD8" s="1" t="s">
        <v>15</v>
      </c>
      <c r="AE8">
        <v>125</v>
      </c>
      <c r="AF8">
        <v>2500000</v>
      </c>
      <c r="AG8">
        <v>5</v>
      </c>
      <c r="AH8">
        <v>1000000</v>
      </c>
      <c r="AJ8" s="1" t="s">
        <v>15</v>
      </c>
      <c r="AK8" t="s">
        <v>16</v>
      </c>
      <c r="AL8" t="s">
        <v>13</v>
      </c>
      <c r="AM8" t="s">
        <v>17</v>
      </c>
      <c r="AN8" t="s">
        <v>13</v>
      </c>
      <c r="AP8" s="1" t="s">
        <v>15</v>
      </c>
      <c r="AQ8">
        <v>79</v>
      </c>
      <c r="AR8">
        <v>1580000</v>
      </c>
      <c r="AS8">
        <v>6</v>
      </c>
      <c r="AT8">
        <v>1200000</v>
      </c>
    </row>
    <row r="9" spans="2:46" x14ac:dyDescent="0.45">
      <c r="D9">
        <v>6</v>
      </c>
      <c r="E9" s="1">
        <v>3713333333.333333</v>
      </c>
      <c r="F9" s="1">
        <v>653775360.67232001</v>
      </c>
      <c r="G9">
        <v>38</v>
      </c>
      <c r="H9">
        <f>E9/E7</f>
        <v>0.94366793731469711</v>
      </c>
      <c r="L9" s="1" t="s">
        <v>18</v>
      </c>
      <c r="M9" s="1">
        <v>3</v>
      </c>
      <c r="N9" s="1"/>
      <c r="O9" s="1">
        <v>4</v>
      </c>
      <c r="P9" s="1"/>
      <c r="R9" s="1" t="s">
        <v>18</v>
      </c>
      <c r="S9">
        <v>3</v>
      </c>
      <c r="U9">
        <v>4</v>
      </c>
      <c r="X9" s="1" t="s">
        <v>18</v>
      </c>
      <c r="Y9">
        <v>3</v>
      </c>
      <c r="AA9">
        <v>4</v>
      </c>
      <c r="AD9" s="1" t="s">
        <v>18</v>
      </c>
      <c r="AE9">
        <v>3</v>
      </c>
      <c r="AG9">
        <v>4</v>
      </c>
      <c r="AJ9" s="1" t="s">
        <v>18</v>
      </c>
      <c r="AK9">
        <v>3</v>
      </c>
      <c r="AM9">
        <v>4</v>
      </c>
      <c r="AP9" s="1" t="s">
        <v>18</v>
      </c>
      <c r="AQ9">
        <v>3</v>
      </c>
      <c r="AS9">
        <v>4</v>
      </c>
    </row>
    <row r="10" spans="2:46" x14ac:dyDescent="0.45">
      <c r="L10" s="1" t="s">
        <v>19</v>
      </c>
      <c r="M10" s="1">
        <v>5</v>
      </c>
      <c r="N10" s="1"/>
      <c r="O10" s="1">
        <v>5</v>
      </c>
      <c r="P10" s="1"/>
      <c r="R10" s="1" t="s">
        <v>19</v>
      </c>
      <c r="S10">
        <v>5</v>
      </c>
      <c r="U10">
        <v>5</v>
      </c>
      <c r="X10" s="1" t="s">
        <v>19</v>
      </c>
      <c r="Y10">
        <v>5</v>
      </c>
      <c r="AA10">
        <v>5</v>
      </c>
      <c r="AD10" s="1" t="s">
        <v>19</v>
      </c>
      <c r="AE10">
        <v>5</v>
      </c>
      <c r="AG10">
        <v>5</v>
      </c>
      <c r="AJ10" s="1" t="s">
        <v>19</v>
      </c>
      <c r="AK10">
        <v>5</v>
      </c>
      <c r="AM10">
        <v>5</v>
      </c>
      <c r="AP10" s="1" t="s">
        <v>19</v>
      </c>
      <c r="AQ10">
        <v>5</v>
      </c>
      <c r="AS10">
        <v>5</v>
      </c>
    </row>
    <row r="11" spans="2:46" x14ac:dyDescent="0.45">
      <c r="D11" t="s">
        <v>20</v>
      </c>
      <c r="E11" t="s">
        <v>2</v>
      </c>
      <c r="F11" t="s">
        <v>3</v>
      </c>
      <c r="G11" t="s">
        <v>4</v>
      </c>
      <c r="H11" t="s">
        <v>5</v>
      </c>
      <c r="L11" s="1" t="s">
        <v>21</v>
      </c>
      <c r="M11" s="1">
        <v>7810147.2457310306</v>
      </c>
      <c r="N11" s="1" t="s">
        <v>4</v>
      </c>
      <c r="O11" s="1">
        <v>0</v>
      </c>
      <c r="P11" s="1"/>
      <c r="R11" s="1" t="s">
        <v>21</v>
      </c>
      <c r="S11">
        <v>3599111.0013446375</v>
      </c>
      <c r="T11" s="1" t="s">
        <v>4</v>
      </c>
      <c r="U11">
        <v>1.6666666666666666E-2</v>
      </c>
      <c r="X11" s="1" t="s">
        <v>21</v>
      </c>
      <c r="Y11">
        <v>3667369.6295846701</v>
      </c>
      <c r="Z11" s="1" t="s">
        <v>4</v>
      </c>
      <c r="AA11">
        <v>1.6666666666666666E-2</v>
      </c>
      <c r="AD11" s="1" t="s">
        <v>21</v>
      </c>
      <c r="AE11">
        <v>500975.04927890375</v>
      </c>
      <c r="AF11" s="1" t="s">
        <v>4</v>
      </c>
      <c r="AG11">
        <v>0</v>
      </c>
      <c r="AJ11" s="1" t="s">
        <v>21</v>
      </c>
      <c r="AK11">
        <v>603959.15976717055</v>
      </c>
      <c r="AL11" s="1" t="s">
        <v>4</v>
      </c>
      <c r="AM11">
        <v>1.6666666666666666E-2</v>
      </c>
      <c r="AP11" s="1" t="s">
        <v>21</v>
      </c>
      <c r="AQ11">
        <v>191311.26469708988</v>
      </c>
      <c r="AR11" s="1" t="s">
        <v>4</v>
      </c>
      <c r="AS11">
        <v>1.6666666666666666E-2</v>
      </c>
    </row>
    <row r="12" spans="2:46" x14ac:dyDescent="0.45">
      <c r="D12">
        <v>0</v>
      </c>
      <c r="E12">
        <v>1814000</v>
      </c>
      <c r="F12">
        <v>500975.04927890375</v>
      </c>
      <c r="G12">
        <v>0</v>
      </c>
      <c r="L12" s="1" t="s">
        <v>22</v>
      </c>
      <c r="M12" s="1">
        <v>18280000</v>
      </c>
      <c r="N12" s="1" t="s">
        <v>23</v>
      </c>
      <c r="O12" s="1">
        <v>0</v>
      </c>
      <c r="P12" s="1"/>
      <c r="R12" s="1" t="s">
        <v>22</v>
      </c>
      <c r="S12">
        <v>14340000</v>
      </c>
      <c r="T12" s="1" t="s">
        <v>23</v>
      </c>
      <c r="U12">
        <v>25</v>
      </c>
      <c r="X12" s="1" t="s">
        <v>22</v>
      </c>
      <c r="Y12">
        <v>12340000</v>
      </c>
      <c r="Z12" s="1" t="s">
        <v>23</v>
      </c>
      <c r="AA12">
        <v>50</v>
      </c>
      <c r="AD12" s="1" t="s">
        <v>22</v>
      </c>
      <c r="AE12">
        <v>1814000</v>
      </c>
      <c r="AF12" s="1" t="s">
        <v>23</v>
      </c>
      <c r="AG12">
        <v>0</v>
      </c>
      <c r="AJ12" s="1" t="s">
        <v>22</v>
      </c>
      <c r="AK12">
        <v>1455000</v>
      </c>
      <c r="AL12" s="1" t="s">
        <v>23</v>
      </c>
      <c r="AM12">
        <v>25</v>
      </c>
      <c r="AP12" s="1" t="s">
        <v>22</v>
      </c>
      <c r="AQ12">
        <v>1240000</v>
      </c>
      <c r="AR12" s="1" t="s">
        <v>23</v>
      </c>
      <c r="AS12">
        <v>50</v>
      </c>
    </row>
    <row r="13" spans="2:46" x14ac:dyDescent="0.45">
      <c r="D13">
        <v>1</v>
      </c>
      <c r="E13">
        <v>1455000</v>
      </c>
      <c r="F13">
        <v>603959.15976717055</v>
      </c>
      <c r="G13">
        <v>1.6666666666666666E-2</v>
      </c>
      <c r="L13" s="1"/>
      <c r="M13" s="1"/>
      <c r="N13" s="1"/>
      <c r="O13" s="1"/>
      <c r="P13" s="1"/>
    </row>
    <row r="14" spans="2:46" x14ac:dyDescent="0.45">
      <c r="D14">
        <v>2</v>
      </c>
      <c r="E14">
        <v>2133333.333333333</v>
      </c>
      <c r="F14">
        <v>534249.21359064465</v>
      </c>
      <c r="G14">
        <v>0.5</v>
      </c>
      <c r="H14">
        <f>E14/E12</f>
        <v>1.1760382212421903</v>
      </c>
      <c r="L14" s="1"/>
      <c r="M14" s="1" t="s">
        <v>6</v>
      </c>
      <c r="N14" s="1" t="s">
        <v>7</v>
      </c>
      <c r="O14" s="1" t="s">
        <v>6</v>
      </c>
      <c r="P14" s="1" t="s">
        <v>7</v>
      </c>
      <c r="S14" s="1" t="s">
        <v>6</v>
      </c>
      <c r="T14" s="1" t="s">
        <v>7</v>
      </c>
      <c r="U14" s="1" t="s">
        <v>6</v>
      </c>
      <c r="V14" s="1" t="s">
        <v>7</v>
      </c>
      <c r="Y14" s="1" t="s">
        <v>6</v>
      </c>
      <c r="Z14" s="1" t="s">
        <v>7</v>
      </c>
      <c r="AA14" s="1" t="s">
        <v>6</v>
      </c>
      <c r="AB14" s="1" t="s">
        <v>7</v>
      </c>
      <c r="AE14" s="1" t="s">
        <v>6</v>
      </c>
      <c r="AF14" s="1" t="s">
        <v>7</v>
      </c>
      <c r="AG14" s="1" t="s">
        <v>6</v>
      </c>
      <c r="AH14" s="1" t="s">
        <v>7</v>
      </c>
      <c r="AK14" s="1" t="s">
        <v>6</v>
      </c>
      <c r="AL14" s="1" t="s">
        <v>7</v>
      </c>
      <c r="AM14" s="1" t="s">
        <v>6</v>
      </c>
      <c r="AN14" s="1" t="s">
        <v>7</v>
      </c>
      <c r="AQ14" s="1" t="s">
        <v>6</v>
      </c>
      <c r="AR14" s="1" t="s">
        <v>7</v>
      </c>
      <c r="AS14" s="1" t="s">
        <v>6</v>
      </c>
      <c r="AT14" s="1" t="s">
        <v>7</v>
      </c>
    </row>
    <row r="15" spans="2:46" x14ac:dyDescent="0.45">
      <c r="D15">
        <v>3</v>
      </c>
      <c r="E15">
        <v>322000000</v>
      </c>
      <c r="F15">
        <v>26474306.202219706</v>
      </c>
      <c r="G15">
        <v>4</v>
      </c>
      <c r="L15" s="1" t="s">
        <v>8</v>
      </c>
      <c r="M15" s="1">
        <v>158</v>
      </c>
      <c r="N15" s="1">
        <v>316000000</v>
      </c>
      <c r="O15" s="1">
        <v>171</v>
      </c>
      <c r="P15" s="1">
        <v>342000000</v>
      </c>
      <c r="R15" s="1" t="s">
        <v>8</v>
      </c>
      <c r="S15">
        <v>148</v>
      </c>
      <c r="T15">
        <v>296000000</v>
      </c>
      <c r="U15">
        <v>137</v>
      </c>
      <c r="V15">
        <v>274000000</v>
      </c>
      <c r="X15" s="1" t="s">
        <v>8</v>
      </c>
      <c r="Y15">
        <v>147</v>
      </c>
      <c r="Z15">
        <v>294000000</v>
      </c>
      <c r="AA15">
        <v>126</v>
      </c>
      <c r="AB15">
        <v>252000000</v>
      </c>
      <c r="AD15" s="1" t="s">
        <v>8</v>
      </c>
      <c r="AE15">
        <v>205</v>
      </c>
      <c r="AF15">
        <v>4100000</v>
      </c>
      <c r="AG15">
        <v>26</v>
      </c>
      <c r="AH15">
        <v>5200000</v>
      </c>
      <c r="AJ15" s="1" t="s">
        <v>8</v>
      </c>
      <c r="AK15">
        <v>109</v>
      </c>
      <c r="AL15">
        <v>2180000</v>
      </c>
      <c r="AM15">
        <v>6</v>
      </c>
      <c r="AN15">
        <v>1200000</v>
      </c>
      <c r="AP15" s="1" t="s">
        <v>8</v>
      </c>
      <c r="AQ15">
        <v>74</v>
      </c>
      <c r="AR15">
        <v>1480000</v>
      </c>
      <c r="AS15">
        <v>7</v>
      </c>
      <c r="AT15">
        <v>1400000</v>
      </c>
    </row>
    <row r="16" spans="2:46" x14ac:dyDescent="0.45">
      <c r="D16">
        <v>4</v>
      </c>
      <c r="E16">
        <v>3740000000</v>
      </c>
      <c r="F16">
        <v>485798312.05964476</v>
      </c>
      <c r="G16">
        <v>37.5</v>
      </c>
      <c r="L16" s="1" t="s">
        <v>9</v>
      </c>
      <c r="M16" s="1">
        <v>161</v>
      </c>
      <c r="N16" s="1">
        <v>322000000</v>
      </c>
      <c r="O16" s="1">
        <v>185</v>
      </c>
      <c r="P16" s="1">
        <v>370000000</v>
      </c>
      <c r="R16" s="1" t="s">
        <v>9</v>
      </c>
      <c r="S16">
        <v>174</v>
      </c>
      <c r="T16">
        <v>348000000</v>
      </c>
      <c r="U16">
        <v>133</v>
      </c>
      <c r="V16">
        <v>266000000</v>
      </c>
      <c r="X16" s="1" t="s">
        <v>9</v>
      </c>
      <c r="Y16">
        <v>144</v>
      </c>
      <c r="Z16">
        <v>288000000</v>
      </c>
      <c r="AA16">
        <v>134</v>
      </c>
      <c r="AB16">
        <v>268000000</v>
      </c>
      <c r="AD16" s="1" t="s">
        <v>9</v>
      </c>
      <c r="AE16">
        <v>198</v>
      </c>
      <c r="AF16">
        <v>3960000</v>
      </c>
      <c r="AG16">
        <v>20</v>
      </c>
      <c r="AH16">
        <v>4000000</v>
      </c>
      <c r="AJ16" s="1" t="s">
        <v>9</v>
      </c>
      <c r="AK16" t="s">
        <v>24</v>
      </c>
      <c r="AL16" t="s">
        <v>13</v>
      </c>
      <c r="AM16">
        <v>10</v>
      </c>
      <c r="AN16">
        <v>2000000</v>
      </c>
      <c r="AP16" s="1" t="s">
        <v>9</v>
      </c>
      <c r="AQ16">
        <v>94</v>
      </c>
      <c r="AR16">
        <v>1880000</v>
      </c>
      <c r="AS16">
        <v>8</v>
      </c>
      <c r="AT16">
        <v>1600000</v>
      </c>
    </row>
    <row r="17" spans="4:46" x14ac:dyDescent="0.45">
      <c r="D17">
        <v>5</v>
      </c>
      <c r="E17">
        <v>3546666666.6666665</v>
      </c>
      <c r="F17">
        <v>690957467.73750281</v>
      </c>
      <c r="G17">
        <v>38</v>
      </c>
      <c r="H17">
        <f>E17/E16</f>
        <v>0.94830659536541884</v>
      </c>
      <c r="L17" s="1" t="s">
        <v>10</v>
      </c>
      <c r="M17" s="1"/>
      <c r="N17" s="1" t="s">
        <v>13</v>
      </c>
      <c r="O17" s="1">
        <v>166</v>
      </c>
      <c r="P17" s="1">
        <v>332000000</v>
      </c>
      <c r="R17" s="1" t="s">
        <v>10</v>
      </c>
      <c r="T17" t="s">
        <v>13</v>
      </c>
      <c r="U17">
        <v>139</v>
      </c>
      <c r="V17">
        <v>278000000</v>
      </c>
      <c r="X17" s="1" t="s">
        <v>10</v>
      </c>
      <c r="Y17">
        <v>155</v>
      </c>
      <c r="Z17">
        <v>310000000</v>
      </c>
      <c r="AB17" t="s">
        <v>13</v>
      </c>
      <c r="AD17" s="1" t="s">
        <v>10</v>
      </c>
      <c r="AE17">
        <v>195</v>
      </c>
      <c r="AF17">
        <v>3900000</v>
      </c>
      <c r="AG17">
        <v>23</v>
      </c>
      <c r="AH17">
        <v>4600000</v>
      </c>
      <c r="AJ17" s="1" t="s">
        <v>10</v>
      </c>
      <c r="AK17">
        <v>98</v>
      </c>
      <c r="AL17">
        <v>1960000</v>
      </c>
      <c r="AM17">
        <v>11</v>
      </c>
      <c r="AN17">
        <v>2200000</v>
      </c>
      <c r="AP17" s="1" t="s">
        <v>10</v>
      </c>
      <c r="AQ17">
        <v>103</v>
      </c>
      <c r="AR17">
        <v>2060000</v>
      </c>
      <c r="AS17">
        <v>7</v>
      </c>
      <c r="AT17">
        <v>1400000</v>
      </c>
    </row>
    <row r="18" spans="4:46" x14ac:dyDescent="0.45">
      <c r="D18">
        <v>6</v>
      </c>
      <c r="E18">
        <v>2868000000</v>
      </c>
      <c r="F18">
        <v>426970724.99177265</v>
      </c>
      <c r="G18">
        <v>38</v>
      </c>
      <c r="H18">
        <f>E18/E16</f>
        <v>0.76684491978609626</v>
      </c>
      <c r="L18" s="1" t="s">
        <v>11</v>
      </c>
      <c r="M18" s="1"/>
      <c r="N18" s="1" t="s">
        <v>13</v>
      </c>
      <c r="O18" s="1"/>
      <c r="P18" s="1" t="s">
        <v>13</v>
      </c>
      <c r="R18" s="1" t="s">
        <v>11</v>
      </c>
      <c r="T18" t="s">
        <v>13</v>
      </c>
      <c r="V18" t="s">
        <v>13</v>
      </c>
      <c r="X18" s="1" t="s">
        <v>11</v>
      </c>
      <c r="Z18" t="s">
        <v>13</v>
      </c>
      <c r="AB18" t="s">
        <v>13</v>
      </c>
      <c r="AD18" s="1" t="s">
        <v>11</v>
      </c>
      <c r="AE18">
        <v>205</v>
      </c>
      <c r="AF18">
        <v>4100000</v>
      </c>
      <c r="AG18">
        <v>40</v>
      </c>
      <c r="AH18">
        <v>8000000</v>
      </c>
      <c r="AJ18" s="1" t="s">
        <v>11</v>
      </c>
      <c r="AK18">
        <v>115</v>
      </c>
      <c r="AL18">
        <v>2300000</v>
      </c>
      <c r="AM18">
        <v>13</v>
      </c>
      <c r="AN18">
        <v>2600000</v>
      </c>
      <c r="AP18" s="1" t="s">
        <v>11</v>
      </c>
      <c r="AQ18" t="s">
        <v>16</v>
      </c>
      <c r="AR18" t="s">
        <v>13</v>
      </c>
      <c r="AS18" t="s">
        <v>12</v>
      </c>
      <c r="AT18" t="s">
        <v>13</v>
      </c>
    </row>
    <row r="19" spans="4:46" x14ac:dyDescent="0.45">
      <c r="L19" s="1" t="s">
        <v>15</v>
      </c>
      <c r="M19" s="1"/>
      <c r="N19" s="1" t="s">
        <v>13</v>
      </c>
      <c r="O19" s="1"/>
      <c r="P19" s="1" t="s">
        <v>13</v>
      </c>
      <c r="R19" s="1" t="s">
        <v>15</v>
      </c>
      <c r="T19" t="s">
        <v>13</v>
      </c>
      <c r="V19" t="s">
        <v>13</v>
      </c>
      <c r="X19" s="1" t="s">
        <v>15</v>
      </c>
      <c r="Z19" t="s">
        <v>13</v>
      </c>
      <c r="AB19" t="s">
        <v>13</v>
      </c>
      <c r="AD19" s="1" t="s">
        <v>15</v>
      </c>
      <c r="AE19">
        <v>195</v>
      </c>
      <c r="AF19">
        <v>3900000</v>
      </c>
      <c r="AG19">
        <v>20</v>
      </c>
      <c r="AH19">
        <v>4000000</v>
      </c>
      <c r="AJ19" s="1" t="s">
        <v>15</v>
      </c>
      <c r="AK19" t="s">
        <v>25</v>
      </c>
      <c r="AL19" t="s">
        <v>13</v>
      </c>
      <c r="AM19">
        <v>13</v>
      </c>
      <c r="AN19">
        <v>2600000</v>
      </c>
      <c r="AP19" s="1" t="s">
        <v>15</v>
      </c>
      <c r="AQ19">
        <v>83</v>
      </c>
      <c r="AR19">
        <v>1660000</v>
      </c>
      <c r="AS19">
        <v>9</v>
      </c>
      <c r="AT19">
        <v>1800000</v>
      </c>
    </row>
    <row r="20" spans="4:46" x14ac:dyDescent="0.45">
      <c r="D20" t="s">
        <v>26</v>
      </c>
      <c r="E20" t="s">
        <v>2</v>
      </c>
      <c r="F20" t="s">
        <v>3</v>
      </c>
      <c r="G20" t="s">
        <v>4</v>
      </c>
      <c r="H20" t="s">
        <v>5</v>
      </c>
      <c r="L20" s="1" t="s">
        <v>18</v>
      </c>
      <c r="M20" s="1">
        <v>4</v>
      </c>
      <c r="N20" s="1"/>
      <c r="O20" s="1">
        <v>4</v>
      </c>
      <c r="P20" s="1"/>
      <c r="R20" s="1" t="s">
        <v>18</v>
      </c>
      <c r="S20">
        <v>4</v>
      </c>
      <c r="U20">
        <v>4</v>
      </c>
      <c r="X20" s="1" t="s">
        <v>18</v>
      </c>
      <c r="Y20">
        <v>4</v>
      </c>
      <c r="AA20">
        <v>4</v>
      </c>
      <c r="AD20" s="1" t="s">
        <v>18</v>
      </c>
      <c r="AE20">
        <v>3</v>
      </c>
      <c r="AG20">
        <v>4</v>
      </c>
      <c r="AJ20" s="1" t="s">
        <v>18</v>
      </c>
      <c r="AK20">
        <v>3</v>
      </c>
      <c r="AM20">
        <v>4</v>
      </c>
      <c r="AP20" s="1" t="s">
        <v>18</v>
      </c>
      <c r="AQ20">
        <v>3</v>
      </c>
      <c r="AS20">
        <v>4</v>
      </c>
    </row>
    <row r="21" spans="4:46" x14ac:dyDescent="0.45">
      <c r="D21">
        <v>0</v>
      </c>
      <c r="E21">
        <v>1814000</v>
      </c>
      <c r="F21">
        <v>500975.04927890375</v>
      </c>
      <c r="G21">
        <v>0</v>
      </c>
      <c r="L21" s="1" t="s">
        <v>19</v>
      </c>
      <c r="M21" s="1">
        <v>5</v>
      </c>
      <c r="N21" s="1"/>
      <c r="O21" s="1">
        <v>5</v>
      </c>
      <c r="P21" s="1"/>
      <c r="R21" s="1" t="s">
        <v>19</v>
      </c>
      <c r="S21">
        <v>5</v>
      </c>
      <c r="U21">
        <v>5</v>
      </c>
      <c r="X21" s="1" t="s">
        <v>19</v>
      </c>
      <c r="Y21">
        <v>5</v>
      </c>
      <c r="AA21">
        <v>5</v>
      </c>
      <c r="AD21" s="1" t="s">
        <v>19</v>
      </c>
      <c r="AE21">
        <v>5</v>
      </c>
      <c r="AG21">
        <v>5</v>
      </c>
      <c r="AJ21" s="1" t="s">
        <v>19</v>
      </c>
      <c r="AK21">
        <v>5</v>
      </c>
      <c r="AM21">
        <v>5</v>
      </c>
      <c r="AP21" s="1" t="s">
        <v>19</v>
      </c>
      <c r="AQ21">
        <v>5</v>
      </c>
      <c r="AS21">
        <v>5</v>
      </c>
    </row>
    <row r="22" spans="4:46" x14ac:dyDescent="0.45">
      <c r="D22">
        <v>1</v>
      </c>
      <c r="E22">
        <v>1240000</v>
      </c>
      <c r="F22">
        <v>191311.26469708988</v>
      </c>
      <c r="G22">
        <v>1.6666666666666666E-2</v>
      </c>
      <c r="L22" s="1" t="s">
        <v>21</v>
      </c>
      <c r="M22" s="1">
        <v>16360521.589077368</v>
      </c>
      <c r="N22" s="1" t="s">
        <v>4</v>
      </c>
      <c r="O22" s="1">
        <v>4</v>
      </c>
      <c r="P22" s="1"/>
      <c r="R22" s="1" t="s">
        <v>21</v>
      </c>
      <c r="S22">
        <v>26474306.202219706</v>
      </c>
      <c r="T22" s="1" t="s">
        <v>4</v>
      </c>
      <c r="U22">
        <v>4</v>
      </c>
      <c r="X22" s="1" t="s">
        <v>21</v>
      </c>
      <c r="Y22">
        <v>12256517.540566824</v>
      </c>
      <c r="Z22" s="1" t="s">
        <v>4</v>
      </c>
      <c r="AA22">
        <v>4</v>
      </c>
      <c r="AD22" s="1" t="s">
        <v>21</v>
      </c>
      <c r="AE22">
        <v>1490857.4713902064</v>
      </c>
      <c r="AF22" s="1" t="s">
        <v>4</v>
      </c>
      <c r="AG22">
        <v>0.5</v>
      </c>
      <c r="AJ22" s="1" t="s">
        <v>21</v>
      </c>
      <c r="AK22">
        <v>534249.21359064465</v>
      </c>
      <c r="AL22" s="1" t="s">
        <v>4</v>
      </c>
      <c r="AM22">
        <v>0.5</v>
      </c>
      <c r="AP22" s="1" t="s">
        <v>21</v>
      </c>
      <c r="AQ22">
        <v>274954.54169735039</v>
      </c>
      <c r="AR22" s="1" t="s">
        <v>4</v>
      </c>
      <c r="AS22">
        <v>0.5</v>
      </c>
    </row>
    <row r="23" spans="4:46" x14ac:dyDescent="0.45">
      <c r="D23">
        <v>2</v>
      </c>
      <c r="E23">
        <v>1660000</v>
      </c>
      <c r="F23">
        <v>274954.54169735039</v>
      </c>
      <c r="G23">
        <v>0.5</v>
      </c>
      <c r="H23">
        <f>E23/E21</f>
        <v>0.91510474090407934</v>
      </c>
      <c r="L23" s="1" t="s">
        <v>22</v>
      </c>
      <c r="M23" s="1">
        <v>333500000</v>
      </c>
      <c r="N23" s="1" t="s">
        <v>23</v>
      </c>
      <c r="O23" s="1">
        <v>0</v>
      </c>
      <c r="P23" s="1"/>
      <c r="R23" s="1" t="s">
        <v>22</v>
      </c>
      <c r="S23">
        <v>322000000</v>
      </c>
      <c r="T23" s="1" t="s">
        <v>23</v>
      </c>
      <c r="U23">
        <v>25</v>
      </c>
      <c r="X23" s="1" t="s">
        <v>22</v>
      </c>
      <c r="Y23">
        <v>278666666.66666663</v>
      </c>
      <c r="Z23" s="1" t="s">
        <v>23</v>
      </c>
      <c r="AA23">
        <v>50</v>
      </c>
      <c r="AD23" s="1" t="s">
        <v>22</v>
      </c>
      <c r="AE23">
        <v>4576000</v>
      </c>
      <c r="AF23" s="1" t="s">
        <v>23</v>
      </c>
      <c r="AG23">
        <v>0</v>
      </c>
      <c r="AJ23" s="1" t="s">
        <v>22</v>
      </c>
      <c r="AK23">
        <v>2133333.333333333</v>
      </c>
      <c r="AL23" s="1" t="s">
        <v>23</v>
      </c>
      <c r="AM23">
        <v>25</v>
      </c>
      <c r="AP23" s="1" t="s">
        <v>22</v>
      </c>
      <c r="AQ23">
        <v>1660000</v>
      </c>
      <c r="AR23" s="1" t="s">
        <v>23</v>
      </c>
      <c r="AS23">
        <v>50</v>
      </c>
    </row>
    <row r="24" spans="4:46" x14ac:dyDescent="0.45">
      <c r="D24">
        <v>3</v>
      </c>
      <c r="E24">
        <v>278666666.66666663</v>
      </c>
      <c r="F24">
        <v>12256517.540566824</v>
      </c>
      <c r="G24">
        <v>4</v>
      </c>
      <c r="L24" s="1"/>
      <c r="M24" s="1"/>
      <c r="N24" s="1"/>
      <c r="O24" s="1"/>
      <c r="P24" s="1"/>
    </row>
    <row r="25" spans="4:46" x14ac:dyDescent="0.45">
      <c r="D25">
        <v>4</v>
      </c>
      <c r="E25">
        <v>3542500000</v>
      </c>
      <c r="F25">
        <v>564867241.03987479</v>
      </c>
      <c r="G25">
        <v>37.5</v>
      </c>
      <c r="L25" s="1"/>
      <c r="M25" s="1" t="s">
        <v>6</v>
      </c>
      <c r="N25" s="1" t="s">
        <v>7</v>
      </c>
      <c r="O25" s="1" t="s">
        <v>6</v>
      </c>
      <c r="P25" s="1" t="s">
        <v>7</v>
      </c>
      <c r="S25" s="1" t="s">
        <v>6</v>
      </c>
      <c r="T25" s="1" t="s">
        <v>7</v>
      </c>
      <c r="U25" s="1" t="s">
        <v>6</v>
      </c>
      <c r="V25" s="1" t="s">
        <v>7</v>
      </c>
      <c r="Y25" s="1" t="s">
        <v>6</v>
      </c>
      <c r="Z25" s="1" t="s">
        <v>7</v>
      </c>
      <c r="AA25" s="1" t="s">
        <v>6</v>
      </c>
      <c r="AB25" s="1" t="s">
        <v>7</v>
      </c>
    </row>
    <row r="26" spans="4:46" x14ac:dyDescent="0.45">
      <c r="D26">
        <v>5</v>
      </c>
      <c r="E26">
        <v>3395000000</v>
      </c>
      <c r="F26">
        <v>753724087.44845092</v>
      </c>
      <c r="G26">
        <v>38</v>
      </c>
      <c r="H26">
        <f>E26/E25</f>
        <v>0.95836273817925199</v>
      </c>
      <c r="L26" s="1" t="s">
        <v>8</v>
      </c>
      <c r="M26" s="1">
        <v>129</v>
      </c>
      <c r="N26" s="1">
        <v>2580000000</v>
      </c>
      <c r="O26" s="1">
        <v>25</v>
      </c>
      <c r="P26" s="1">
        <v>5000000000</v>
      </c>
      <c r="R26" s="1" t="s">
        <v>8</v>
      </c>
      <c r="S26" t="s">
        <v>27</v>
      </c>
      <c r="T26" t="s">
        <v>13</v>
      </c>
      <c r="U26">
        <v>21</v>
      </c>
      <c r="V26">
        <v>4200000000</v>
      </c>
      <c r="X26" s="1" t="s">
        <v>8</v>
      </c>
      <c r="Y26" t="s">
        <v>28</v>
      </c>
      <c r="Z26" t="s">
        <v>13</v>
      </c>
      <c r="AA26">
        <v>25</v>
      </c>
      <c r="AB26">
        <v>5000000000</v>
      </c>
    </row>
    <row r="27" spans="4:46" x14ac:dyDescent="0.45">
      <c r="D27">
        <v>6</v>
      </c>
      <c r="E27">
        <v>3282500000</v>
      </c>
      <c r="F27">
        <v>359130895.35711068</v>
      </c>
      <c r="G27">
        <v>38</v>
      </c>
      <c r="H27">
        <f>E27/E25</f>
        <v>0.92660550458715596</v>
      </c>
      <c r="L27" s="1" t="s">
        <v>9</v>
      </c>
      <c r="M27" s="1">
        <v>131</v>
      </c>
      <c r="N27" s="1">
        <v>2620000000</v>
      </c>
      <c r="O27" s="1">
        <v>24</v>
      </c>
      <c r="P27" s="1">
        <v>4800000000</v>
      </c>
      <c r="R27" s="1" t="s">
        <v>9</v>
      </c>
      <c r="S27">
        <v>128</v>
      </c>
      <c r="T27">
        <v>2560000000</v>
      </c>
      <c r="U27">
        <v>25</v>
      </c>
      <c r="V27">
        <v>5000000000</v>
      </c>
      <c r="X27" s="1" t="s">
        <v>9</v>
      </c>
      <c r="Y27">
        <v>134</v>
      </c>
      <c r="Z27">
        <v>2680000000</v>
      </c>
      <c r="AA27">
        <v>20</v>
      </c>
      <c r="AB27">
        <v>4000000000</v>
      </c>
    </row>
    <row r="28" spans="4:46" x14ac:dyDescent="0.45">
      <c r="L28" s="1" t="s">
        <v>10</v>
      </c>
      <c r="M28" s="1" t="s">
        <v>29</v>
      </c>
      <c r="N28" s="1" t="s">
        <v>13</v>
      </c>
      <c r="O28" s="1" t="s">
        <v>30</v>
      </c>
      <c r="P28" s="1" t="s">
        <v>13</v>
      </c>
      <c r="R28" s="1" t="s">
        <v>10</v>
      </c>
      <c r="S28">
        <v>125</v>
      </c>
      <c r="T28">
        <v>2500000000</v>
      </c>
      <c r="U28">
        <v>28</v>
      </c>
      <c r="V28">
        <v>5600000000</v>
      </c>
      <c r="X28" s="1" t="s">
        <v>10</v>
      </c>
      <c r="Y28">
        <v>129</v>
      </c>
      <c r="Z28">
        <v>2580000000</v>
      </c>
      <c r="AA28">
        <v>21</v>
      </c>
      <c r="AB28">
        <v>4200000000</v>
      </c>
      <c r="AE28">
        <f>AE12/M12</f>
        <v>9.9234135667396056E-2</v>
      </c>
      <c r="AK28">
        <f>AK12/S12</f>
        <v>0.10146443514644352</v>
      </c>
      <c r="AQ28">
        <f t="shared" ref="AQ28" si="0">AQ12/Y12</f>
        <v>0.10048622366288493</v>
      </c>
    </row>
    <row r="29" spans="4:46" x14ac:dyDescent="0.45">
      <c r="L29" s="1" t="s">
        <v>11</v>
      </c>
      <c r="M29" s="1">
        <v>127</v>
      </c>
      <c r="N29" s="1">
        <v>2540000000</v>
      </c>
      <c r="O29" s="1">
        <v>29</v>
      </c>
      <c r="P29" s="1">
        <v>5800000000</v>
      </c>
      <c r="R29" s="1" t="s">
        <v>11</v>
      </c>
      <c r="S29">
        <v>131</v>
      </c>
      <c r="T29">
        <v>2620000000</v>
      </c>
      <c r="U29">
        <v>26</v>
      </c>
      <c r="V29">
        <v>5200000000</v>
      </c>
      <c r="X29" s="1" t="s">
        <v>11</v>
      </c>
      <c r="Y29">
        <v>127</v>
      </c>
      <c r="Z29">
        <v>2540000000</v>
      </c>
      <c r="AA29">
        <v>19</v>
      </c>
      <c r="AB29">
        <v>3800000000</v>
      </c>
    </row>
    <row r="30" spans="4:46" x14ac:dyDescent="0.45">
      <c r="L30" s="1" t="s">
        <v>15</v>
      </c>
      <c r="M30" s="1">
        <v>127</v>
      </c>
      <c r="N30" s="1">
        <v>2540000000</v>
      </c>
      <c r="O30" s="1">
        <v>28</v>
      </c>
      <c r="P30" s="1">
        <v>5600000000</v>
      </c>
      <c r="R30" s="1" t="s">
        <v>15</v>
      </c>
      <c r="S30" t="s">
        <v>29</v>
      </c>
      <c r="T30" t="s">
        <v>13</v>
      </c>
      <c r="U30">
        <v>23</v>
      </c>
      <c r="V30">
        <v>4600000000</v>
      </c>
      <c r="X30" s="1" t="s">
        <v>15</v>
      </c>
      <c r="Y30">
        <v>139</v>
      </c>
      <c r="Z30">
        <v>2780000000</v>
      </c>
      <c r="AA30">
        <v>26</v>
      </c>
      <c r="AB30">
        <v>5200000000</v>
      </c>
    </row>
    <row r="31" spans="4:46" x14ac:dyDescent="0.45">
      <c r="L31" s="1" t="s">
        <v>18</v>
      </c>
      <c r="M31" s="1">
        <v>5</v>
      </c>
      <c r="N31" s="1"/>
      <c r="O31" s="1">
        <v>6</v>
      </c>
      <c r="P31" s="1"/>
      <c r="R31" s="1" t="s">
        <v>18</v>
      </c>
      <c r="S31">
        <v>5</v>
      </c>
      <c r="U31">
        <v>6</v>
      </c>
      <c r="X31" s="1" t="s">
        <v>18</v>
      </c>
      <c r="Y31">
        <v>5</v>
      </c>
      <c r="AA31">
        <v>6</v>
      </c>
    </row>
    <row r="32" spans="4:46" x14ac:dyDescent="0.45">
      <c r="L32" s="1" t="s">
        <v>19</v>
      </c>
      <c r="M32" s="1">
        <v>5</v>
      </c>
      <c r="N32" s="1"/>
      <c r="O32" s="1">
        <v>5</v>
      </c>
      <c r="P32" s="1"/>
      <c r="R32" s="1" t="s">
        <v>19</v>
      </c>
      <c r="S32">
        <v>5</v>
      </c>
      <c r="U32">
        <v>5</v>
      </c>
      <c r="X32" s="1" t="s">
        <v>19</v>
      </c>
      <c r="Y32">
        <v>5</v>
      </c>
      <c r="AA32">
        <v>5</v>
      </c>
    </row>
    <row r="33" spans="12:28" x14ac:dyDescent="0.45">
      <c r="L33" s="1" t="s">
        <v>21</v>
      </c>
      <c r="M33" s="1">
        <v>413642357.59892863</v>
      </c>
      <c r="N33" s="1" t="s">
        <v>4</v>
      </c>
      <c r="O33" s="1">
        <v>37.5</v>
      </c>
      <c r="P33" s="1"/>
      <c r="R33" s="1" t="s">
        <v>21</v>
      </c>
      <c r="S33">
        <v>485798312.05964476</v>
      </c>
      <c r="T33" s="1" t="s">
        <v>4</v>
      </c>
      <c r="U33">
        <v>37.5</v>
      </c>
      <c r="X33" s="1" t="s">
        <v>21</v>
      </c>
      <c r="Y33">
        <v>564867241.03987479</v>
      </c>
      <c r="Z33" s="1" t="s">
        <v>4</v>
      </c>
      <c r="AA33">
        <v>37.5</v>
      </c>
    </row>
    <row r="34" spans="12:28" x14ac:dyDescent="0.45">
      <c r="L34" s="1" t="s">
        <v>22</v>
      </c>
      <c r="M34" s="1">
        <v>3935000000</v>
      </c>
      <c r="N34" s="1" t="s">
        <v>23</v>
      </c>
      <c r="O34" s="1">
        <v>0</v>
      </c>
      <c r="P34" s="1"/>
      <c r="R34" s="1" t="s">
        <v>22</v>
      </c>
      <c r="S34">
        <v>3740000000</v>
      </c>
      <c r="T34" s="1" t="s">
        <v>23</v>
      </c>
      <c r="U34">
        <v>25</v>
      </c>
      <c r="X34" s="1" t="s">
        <v>22</v>
      </c>
      <c r="Y34">
        <v>3542500000</v>
      </c>
      <c r="Z34" s="1" t="s">
        <v>23</v>
      </c>
      <c r="AA34">
        <v>50</v>
      </c>
    </row>
    <row r="35" spans="12:28" x14ac:dyDescent="0.45">
      <c r="L35" s="1"/>
      <c r="M35" s="1"/>
      <c r="N35" s="1"/>
      <c r="O35" s="1"/>
      <c r="P35" s="1"/>
    </row>
    <row r="36" spans="12:28" x14ac:dyDescent="0.45">
      <c r="L36" s="1"/>
      <c r="M36" s="1" t="s">
        <v>6</v>
      </c>
      <c r="N36" s="1" t="s">
        <v>7</v>
      </c>
      <c r="O36" s="1" t="s">
        <v>6</v>
      </c>
      <c r="P36" s="1" t="s">
        <v>7</v>
      </c>
      <c r="S36" s="1" t="s">
        <v>6</v>
      </c>
      <c r="T36" s="1" t="s">
        <v>7</v>
      </c>
      <c r="U36" s="1" t="s">
        <v>6</v>
      </c>
      <c r="V36" s="1" t="s">
        <v>7</v>
      </c>
      <c r="Y36" s="1" t="s">
        <v>6</v>
      </c>
      <c r="Z36" s="1" t="s">
        <v>7</v>
      </c>
      <c r="AA36" s="1" t="s">
        <v>6</v>
      </c>
      <c r="AB36" s="1" t="s">
        <v>7</v>
      </c>
    </row>
    <row r="37" spans="12:28" x14ac:dyDescent="0.45">
      <c r="L37" s="1" t="s">
        <v>8</v>
      </c>
      <c r="M37" s="1" t="s">
        <v>31</v>
      </c>
      <c r="N37" s="1" t="s">
        <v>13</v>
      </c>
      <c r="O37" s="1">
        <v>23</v>
      </c>
      <c r="P37" s="1">
        <v>4600000000</v>
      </c>
      <c r="R37" s="1" t="s">
        <v>8</v>
      </c>
      <c r="S37">
        <v>120</v>
      </c>
      <c r="T37">
        <v>2400000000</v>
      </c>
      <c r="U37" t="s">
        <v>32</v>
      </c>
      <c r="V37" t="s">
        <v>13</v>
      </c>
      <c r="X37" s="1" t="s">
        <v>8</v>
      </c>
      <c r="Y37">
        <v>115</v>
      </c>
      <c r="Z37">
        <v>2300000000</v>
      </c>
      <c r="AA37">
        <v>22</v>
      </c>
      <c r="AB37">
        <v>4400000000</v>
      </c>
    </row>
    <row r="38" spans="12:28" x14ac:dyDescent="0.45">
      <c r="L38" s="1" t="s">
        <v>9</v>
      </c>
      <c r="M38" s="1">
        <v>130</v>
      </c>
      <c r="N38" s="1">
        <v>2600000000</v>
      </c>
      <c r="O38" s="1" t="s">
        <v>32</v>
      </c>
      <c r="P38" s="1" t="s">
        <v>13</v>
      </c>
      <c r="R38" s="1" t="s">
        <v>9</v>
      </c>
      <c r="S38">
        <v>135</v>
      </c>
      <c r="T38">
        <v>2700000000</v>
      </c>
      <c r="U38">
        <v>26</v>
      </c>
      <c r="V38">
        <v>5200000000</v>
      </c>
      <c r="X38" s="1" t="s">
        <v>9</v>
      </c>
      <c r="Y38" t="s">
        <v>33</v>
      </c>
      <c r="Z38" t="s">
        <v>13</v>
      </c>
      <c r="AA38" t="s">
        <v>34</v>
      </c>
      <c r="AB38" t="s">
        <v>13</v>
      </c>
    </row>
    <row r="39" spans="12:28" x14ac:dyDescent="0.45">
      <c r="L39" s="1" t="s">
        <v>10</v>
      </c>
      <c r="M39" s="1">
        <v>145</v>
      </c>
      <c r="N39" s="1">
        <v>2900000000</v>
      </c>
      <c r="O39" s="1">
        <v>26</v>
      </c>
      <c r="P39" s="1">
        <v>5200000000</v>
      </c>
      <c r="R39" s="1" t="s">
        <v>10</v>
      </c>
      <c r="S39">
        <v>129</v>
      </c>
      <c r="T39">
        <v>2580000000</v>
      </c>
      <c r="U39" t="s">
        <v>34</v>
      </c>
      <c r="V39" t="s">
        <v>13</v>
      </c>
      <c r="X39" s="1" t="s">
        <v>10</v>
      </c>
      <c r="Y39" t="s">
        <v>35</v>
      </c>
      <c r="Z39" t="s">
        <v>13</v>
      </c>
      <c r="AA39">
        <v>20</v>
      </c>
      <c r="AB39">
        <v>4000000000</v>
      </c>
    </row>
    <row r="40" spans="12:28" x14ac:dyDescent="0.45">
      <c r="L40" s="1" t="s">
        <v>11</v>
      </c>
      <c r="M40" s="1">
        <v>151</v>
      </c>
      <c r="N40" s="1">
        <v>3020000000</v>
      </c>
      <c r="O40" s="1" t="s">
        <v>36</v>
      </c>
      <c r="P40" s="1" t="s">
        <v>13</v>
      </c>
      <c r="R40" s="1" t="s">
        <v>11</v>
      </c>
      <c r="S40" t="s">
        <v>37</v>
      </c>
      <c r="T40" t="s">
        <v>13</v>
      </c>
      <c r="U40">
        <v>18</v>
      </c>
      <c r="V40">
        <v>3600000000</v>
      </c>
      <c r="X40" s="1" t="s">
        <v>11</v>
      </c>
      <c r="Y40" t="s">
        <v>38</v>
      </c>
      <c r="Z40" t="s">
        <v>13</v>
      </c>
      <c r="AA40">
        <v>18</v>
      </c>
      <c r="AB40">
        <v>3600000000</v>
      </c>
    </row>
    <row r="41" spans="12:28" x14ac:dyDescent="0.45">
      <c r="L41" s="1" t="s">
        <v>15</v>
      </c>
      <c r="M41" s="1" t="s">
        <v>39</v>
      </c>
      <c r="N41" s="1" t="s">
        <v>13</v>
      </c>
      <c r="O41" s="1">
        <v>27</v>
      </c>
      <c r="P41" s="1">
        <v>5400000000</v>
      </c>
      <c r="R41" s="1" t="s">
        <v>15</v>
      </c>
      <c r="S41" t="s">
        <v>40</v>
      </c>
      <c r="T41" t="s">
        <v>13</v>
      </c>
      <c r="U41">
        <v>24</v>
      </c>
      <c r="V41">
        <v>4800000000</v>
      </c>
      <c r="X41" s="1" t="s">
        <v>15</v>
      </c>
      <c r="Y41">
        <v>124</v>
      </c>
      <c r="Z41">
        <v>2480000000</v>
      </c>
      <c r="AA41">
        <v>28</v>
      </c>
      <c r="AB41">
        <v>5600000000</v>
      </c>
    </row>
    <row r="42" spans="12:28" x14ac:dyDescent="0.45">
      <c r="L42" s="1" t="s">
        <v>18</v>
      </c>
      <c r="M42" s="1">
        <v>5</v>
      </c>
      <c r="N42" s="1"/>
      <c r="O42" s="1">
        <v>6</v>
      </c>
      <c r="P42" s="1"/>
      <c r="R42" s="1" t="s">
        <v>18</v>
      </c>
      <c r="S42">
        <v>5</v>
      </c>
      <c r="U42">
        <v>6</v>
      </c>
      <c r="X42" s="1" t="s">
        <v>18</v>
      </c>
      <c r="Y42">
        <v>5</v>
      </c>
      <c r="AA42">
        <v>6</v>
      </c>
    </row>
    <row r="43" spans="12:28" x14ac:dyDescent="0.45">
      <c r="L43" s="1" t="s">
        <v>19</v>
      </c>
      <c r="M43" s="1">
        <v>5</v>
      </c>
      <c r="N43" s="1"/>
      <c r="O43" s="1">
        <v>5</v>
      </c>
      <c r="P43" s="1"/>
      <c r="R43" s="1" t="s">
        <v>19</v>
      </c>
      <c r="S43">
        <v>5</v>
      </c>
      <c r="U43">
        <v>5</v>
      </c>
      <c r="X43" s="1" t="s">
        <v>19</v>
      </c>
      <c r="Y43">
        <v>5</v>
      </c>
      <c r="AA43">
        <v>5</v>
      </c>
    </row>
    <row r="44" spans="12:28" x14ac:dyDescent="0.45">
      <c r="L44" s="1" t="s">
        <v>21</v>
      </c>
      <c r="M44" s="1">
        <v>383086877.29489714</v>
      </c>
      <c r="N44" s="1" t="s">
        <v>4</v>
      </c>
      <c r="O44" s="1">
        <v>38</v>
      </c>
      <c r="P44" s="1"/>
      <c r="R44" s="1" t="s">
        <v>21</v>
      </c>
      <c r="S44">
        <v>690957467.73750281</v>
      </c>
      <c r="T44" s="1" t="s">
        <v>4</v>
      </c>
      <c r="U44">
        <v>38</v>
      </c>
      <c r="X44" s="1" t="s">
        <v>21</v>
      </c>
      <c r="Y44">
        <v>753724087.44845092</v>
      </c>
      <c r="Z44" s="1" t="s">
        <v>4</v>
      </c>
      <c r="AA44">
        <v>38</v>
      </c>
    </row>
    <row r="45" spans="12:28" x14ac:dyDescent="0.45">
      <c r="L45" s="1" t="s">
        <v>22</v>
      </c>
      <c r="M45" s="1">
        <v>3953333333.3333335</v>
      </c>
      <c r="N45" s="1" t="s">
        <v>23</v>
      </c>
      <c r="O45" s="1">
        <v>0</v>
      </c>
      <c r="P45" s="1"/>
      <c r="R45" s="1" t="s">
        <v>22</v>
      </c>
      <c r="S45">
        <v>3546666666.6666665</v>
      </c>
      <c r="T45" s="1" t="s">
        <v>23</v>
      </c>
      <c r="U45">
        <v>25</v>
      </c>
      <c r="X45" s="1" t="s">
        <v>22</v>
      </c>
      <c r="Y45">
        <v>3395000000</v>
      </c>
      <c r="Z45" s="1" t="s">
        <v>23</v>
      </c>
      <c r="AA45">
        <v>50</v>
      </c>
    </row>
    <row r="46" spans="12:28" x14ac:dyDescent="0.45">
      <c r="L46" s="1"/>
      <c r="M46" s="1"/>
      <c r="N46" s="1"/>
      <c r="O46" s="1"/>
      <c r="P46" s="1"/>
    </row>
    <row r="47" spans="12:28" x14ac:dyDescent="0.45">
      <c r="L47" s="1" t="s">
        <v>41</v>
      </c>
      <c r="M47" s="1" t="s">
        <v>6</v>
      </c>
      <c r="N47" s="1" t="s">
        <v>7</v>
      </c>
      <c r="O47" s="1" t="s">
        <v>6</v>
      </c>
      <c r="P47" s="1" t="s">
        <v>7</v>
      </c>
      <c r="R47" t="s">
        <v>41</v>
      </c>
      <c r="S47" s="1" t="s">
        <v>6</v>
      </c>
      <c r="T47" s="1" t="s">
        <v>7</v>
      </c>
      <c r="U47" s="1" t="s">
        <v>6</v>
      </c>
      <c r="V47" s="1" t="s">
        <v>7</v>
      </c>
      <c r="X47" t="s">
        <v>41</v>
      </c>
      <c r="Y47" s="1" t="s">
        <v>6</v>
      </c>
      <c r="Z47" s="1" t="s">
        <v>7</v>
      </c>
      <c r="AA47" s="1" t="s">
        <v>6</v>
      </c>
      <c r="AB47" s="1" t="s">
        <v>7</v>
      </c>
    </row>
    <row r="48" spans="12:28" x14ac:dyDescent="0.45">
      <c r="L48" s="1" t="s">
        <v>8</v>
      </c>
      <c r="M48" s="1">
        <v>145</v>
      </c>
      <c r="N48" s="1">
        <v>2900000000</v>
      </c>
      <c r="O48" s="1">
        <v>27</v>
      </c>
      <c r="P48" s="1">
        <v>5400000000</v>
      </c>
      <c r="R48" s="1" t="s">
        <v>8</v>
      </c>
      <c r="S48">
        <v>95</v>
      </c>
      <c r="T48">
        <v>1900000000</v>
      </c>
      <c r="U48">
        <v>21</v>
      </c>
      <c r="V48">
        <v>4200000000</v>
      </c>
      <c r="X48" s="1" t="s">
        <v>8</v>
      </c>
      <c r="Y48">
        <v>92</v>
      </c>
      <c r="Z48">
        <v>1840000000</v>
      </c>
      <c r="AA48">
        <v>23</v>
      </c>
      <c r="AB48">
        <v>4600000000</v>
      </c>
    </row>
    <row r="49" spans="12:28" x14ac:dyDescent="0.45">
      <c r="L49" s="1" t="s">
        <v>9</v>
      </c>
      <c r="M49" s="1">
        <v>135</v>
      </c>
      <c r="N49" s="1">
        <v>2700000000</v>
      </c>
      <c r="O49" s="1">
        <v>26</v>
      </c>
      <c r="P49" s="1">
        <v>5200000000</v>
      </c>
      <c r="R49" s="1" t="s">
        <v>9</v>
      </c>
      <c r="S49">
        <v>97</v>
      </c>
      <c r="T49">
        <v>1940000000</v>
      </c>
      <c r="U49">
        <v>16</v>
      </c>
      <c r="V49">
        <v>3200000000</v>
      </c>
      <c r="X49" s="1" t="s">
        <v>9</v>
      </c>
      <c r="Y49">
        <v>98</v>
      </c>
      <c r="Z49">
        <v>1960000000</v>
      </c>
      <c r="AA49">
        <v>21</v>
      </c>
      <c r="AB49">
        <v>4200000000</v>
      </c>
    </row>
    <row r="50" spans="12:28" x14ac:dyDescent="0.45">
      <c r="L50" s="1" t="s">
        <v>10</v>
      </c>
      <c r="M50" s="1" t="s">
        <v>42</v>
      </c>
      <c r="N50" s="1" t="s">
        <v>13</v>
      </c>
      <c r="O50" s="1">
        <v>22</v>
      </c>
      <c r="P50" s="1">
        <v>4400000000</v>
      </c>
      <c r="R50" s="1" t="s">
        <v>10</v>
      </c>
      <c r="S50">
        <v>94</v>
      </c>
      <c r="T50">
        <v>1880000000</v>
      </c>
      <c r="U50" t="s">
        <v>43</v>
      </c>
      <c r="V50" t="s">
        <v>13</v>
      </c>
      <c r="X50" s="1" t="s">
        <v>10</v>
      </c>
      <c r="Y50">
        <v>118</v>
      </c>
      <c r="Z50">
        <v>2360000000</v>
      </c>
      <c r="AA50">
        <v>25</v>
      </c>
      <c r="AB50">
        <v>5000000000</v>
      </c>
    </row>
    <row r="51" spans="12:28" x14ac:dyDescent="0.45">
      <c r="L51" s="1" t="s">
        <v>11</v>
      </c>
      <c r="M51" s="1" t="s">
        <v>44</v>
      </c>
      <c r="N51" s="1" t="s">
        <v>13</v>
      </c>
      <c r="O51" s="1">
        <v>19</v>
      </c>
      <c r="P51" s="1">
        <v>3800000000</v>
      </c>
      <c r="R51" s="1" t="s">
        <v>11</v>
      </c>
      <c r="S51">
        <v>97</v>
      </c>
      <c r="T51">
        <v>1940000000</v>
      </c>
      <c r="U51">
        <v>18</v>
      </c>
      <c r="V51">
        <v>3600000000</v>
      </c>
      <c r="X51" s="1" t="s">
        <v>11</v>
      </c>
      <c r="Y51">
        <v>95</v>
      </c>
      <c r="Z51">
        <v>1900000000</v>
      </c>
      <c r="AA51">
        <v>22</v>
      </c>
      <c r="AB51">
        <v>4400000000</v>
      </c>
    </row>
    <row r="52" spans="12:28" x14ac:dyDescent="0.45">
      <c r="L52" s="1" t="s">
        <v>15</v>
      </c>
      <c r="M52" s="1">
        <v>129</v>
      </c>
      <c r="N52" s="1">
        <v>2580000000</v>
      </c>
      <c r="O52" s="1" t="s">
        <v>45</v>
      </c>
      <c r="P52" s="1" t="s">
        <v>13</v>
      </c>
      <c r="R52" s="1" t="s">
        <v>15</v>
      </c>
      <c r="S52">
        <v>101</v>
      </c>
      <c r="T52">
        <v>2020000000</v>
      </c>
      <c r="U52">
        <v>21</v>
      </c>
      <c r="V52">
        <v>4200000000</v>
      </c>
      <c r="X52" s="1" t="s">
        <v>15</v>
      </c>
      <c r="Y52" t="s">
        <v>46</v>
      </c>
      <c r="Z52" t="s">
        <v>13</v>
      </c>
      <c r="AA52" t="s">
        <v>47</v>
      </c>
      <c r="AB52" t="s">
        <v>13</v>
      </c>
    </row>
    <row r="53" spans="12:28" x14ac:dyDescent="0.45">
      <c r="L53" s="1" t="s">
        <v>18</v>
      </c>
      <c r="M53" s="1">
        <v>5</v>
      </c>
      <c r="N53" s="1"/>
      <c r="O53" s="1">
        <v>6</v>
      </c>
      <c r="P53" s="1"/>
      <c r="R53" s="1" t="s">
        <v>18</v>
      </c>
      <c r="S53">
        <v>5</v>
      </c>
      <c r="U53">
        <v>6</v>
      </c>
      <c r="X53" s="1" t="s">
        <v>18</v>
      </c>
      <c r="Y53">
        <v>5</v>
      </c>
      <c r="AA53">
        <v>6</v>
      </c>
    </row>
    <row r="54" spans="12:28" x14ac:dyDescent="0.45">
      <c r="L54" s="1" t="s">
        <v>19</v>
      </c>
      <c r="M54" s="1">
        <v>5</v>
      </c>
      <c r="N54" s="1"/>
      <c r="O54" s="1">
        <v>5</v>
      </c>
      <c r="P54" s="1"/>
      <c r="R54" s="1" t="s">
        <v>19</v>
      </c>
      <c r="S54">
        <v>5</v>
      </c>
      <c r="U54">
        <v>5</v>
      </c>
      <c r="X54" s="1" t="s">
        <v>19</v>
      </c>
      <c r="Y54">
        <v>5</v>
      </c>
      <c r="AA54">
        <v>5</v>
      </c>
    </row>
    <row r="55" spans="12:28" x14ac:dyDescent="0.45">
      <c r="L55" s="1" t="s">
        <v>21</v>
      </c>
      <c r="M55" s="1">
        <v>653775360.67232001</v>
      </c>
      <c r="N55" s="1" t="s">
        <v>4</v>
      </c>
      <c r="O55" s="1">
        <v>38</v>
      </c>
      <c r="P55" s="1"/>
      <c r="R55" s="1" t="s">
        <v>21</v>
      </c>
      <c r="S55">
        <v>426970724.99177265</v>
      </c>
      <c r="T55" s="1" t="s">
        <v>4</v>
      </c>
      <c r="U55">
        <v>38</v>
      </c>
      <c r="X55" s="1" t="s">
        <v>21</v>
      </c>
      <c r="Y55">
        <v>359130895.35711068</v>
      </c>
      <c r="Z55" s="1" t="s">
        <v>4</v>
      </c>
      <c r="AA55">
        <v>38</v>
      </c>
    </row>
    <row r="56" spans="12:28" x14ac:dyDescent="0.45">
      <c r="L56" s="1" t="s">
        <v>22</v>
      </c>
      <c r="M56" s="1">
        <v>3713333333.333333</v>
      </c>
      <c r="N56" s="1" t="s">
        <v>23</v>
      </c>
      <c r="O56" s="1">
        <v>0</v>
      </c>
      <c r="P56" s="1"/>
      <c r="R56" s="1" t="s">
        <v>22</v>
      </c>
      <c r="S56">
        <v>2868000000</v>
      </c>
      <c r="T56" s="1" t="s">
        <v>23</v>
      </c>
      <c r="U56">
        <v>25</v>
      </c>
      <c r="X56" s="1" t="s">
        <v>22</v>
      </c>
      <c r="Y56">
        <v>3282500000</v>
      </c>
      <c r="Z56" s="1" t="s">
        <v>23</v>
      </c>
      <c r="AA56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2026-01-17T08:03:48Z</dcterms:modified>
</cp:coreProperties>
</file>